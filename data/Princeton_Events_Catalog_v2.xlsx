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" sheetId="1" state="visible" r:id="rId3"/>
    <sheet name="Field guide" sheetId="2" state="visible" r:id="rId4"/>
    <sheet name="Summary" sheetId="3" state="visible" r:id="rId5"/>
  </sheets>
  <definedNames>
    <definedName function="false" hidden="true" localSheetId="0" name="_xlnm._FilterDatabase" vbProcedure="false">Catalog!$A$1:$R$107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<sst xmlns="http://schemas.openxmlformats.org/spreadsheetml/2006/main" count="1727" uniqueCount="873">
  <si>
    <t xml:space="preserve">ID</t>
  </si>
  <si>
    <t xml:space="preserve">URL</t>
  </si>
  <si>
    <t xml:space="preserve">Domain</t>
  </si>
  <si>
    <t xml:space="preserve">Affiliation</t>
  </si>
  <si>
    <t xml:space="preserve">Dept_Abbr</t>
  </si>
  <si>
    <t xml:space="preserve">Dept_Name</t>
  </si>
  <si>
    <t xml:space="preserve">Subject</t>
  </si>
  <si>
    <t xml:space="preserve">Audience</t>
  </si>
  <si>
    <t xml:space="preserve">Parent_ID</t>
  </si>
  <si>
    <t xml:space="preserve">Duplicate_Of</t>
  </si>
  <si>
    <t xml:space="preserve">Platform_Exposure</t>
  </si>
  <si>
    <t xml:space="preserve">Pagination</t>
  </si>
  <si>
    <t xml:space="preserve">Verification_Status</t>
  </si>
  <si>
    <t xml:space="preserve">Access_Checked</t>
  </si>
  <si>
    <t xml:space="preserve">Events_Seen</t>
  </si>
  <si>
    <t xml:space="preserve">Most_Recent_and_Last_Date</t>
  </si>
  <si>
    <t xml:space="preserve">Active</t>
  </si>
  <si>
    <t xml:space="preserve">Notes</t>
  </si>
  <si>
    <t xml:space="preserve">Filter_Used</t>
  </si>
  <si>
    <t xml:space="preserve">PU-001</t>
  </si>
  <si>
    <t xml:space="preserve">https://www.princeton.edu/events</t>
  </si>
  <si>
    <t xml:space="preserve">www.princeton.edu</t>
  </si>
  <si>
    <t xml:space="preserve">Princeton University</t>
  </si>
  <si>
    <t xml:space="preserve">PU</t>
  </si>
  <si>
    <t xml:space="preserve">Princeton University central events calendar (EMS-fed)</t>
  </si>
  <si>
    <t xml:space="preserve">All subjects</t>
  </si>
  <si>
    <t xml:space="preserve">Mixed (filter: Open to the Public)</t>
  </si>
  <si>
    <t xml:space="preserve">Drupal 10. HTML list, 30 events/page, ?page=0..N. Filters: keywords, date range, Audience (incl. 'Open to the Public'), Event Type, Category, Subcategory (~200 dept subcategories). No RSS/ICS advertised on list page; per-event pages exist. robots.txt blocks automated fetch of paginated (?page=) URLs.</t>
  </si>
  <si>
    <t xml:space="preserve">Drupal ?page=0..22 (23 pages, 30 events each; numbered links + First/Previous/Next/Last). Traversed first and last page in Chrome; robots.txt blocks non-browser fetch of ?page= URLs.</t>
  </si>
  <si>
    <t xml:space="preserve">Verified in Chrome (Sep 5 2026)</t>
  </si>
  <si>
    <t xml:space="preserve">Yes (page 1 via fetch; last page via Chrome)</t>
  </si>
  <si>
    <t xml:space="preserve">30 per page x 22 full pages + 17 on page 23 = ~677 upcoming events</t>
  </si>
  <si>
    <t xml:space="preserve">First: Sep 6, 2026 (Worship Service; Open Studio at Art Museum) | Last: May 23, 2027 (Worship Service in the University Chapel) — page 23</t>
  </si>
  <si>
    <t xml:space="preserve">Active (verified)</t>
  </si>
  <si>
    <t xml:space="preserve">Filter URL parameter is stable and can be hard-coded in the crawler. Note: 'Open to the Public' is self-reported by submitting departments — Chapel worship services carry it while also being labelled Invite Only; and many genuinely public dept events omit it. Treat the filter as high-precision, low-recall for now. | Tail of the list (pages 20+) is mostly recurring items far ahead — weekly Chapel services (Invite Only), Jazz Vespers, Firestone tours, seminar series — so the effective horizon for one-off events is ~3-4 months. Audience filter includes Open to the Public; Event Type and ~200 Subcategories act as department tags. | MOST IMPORTANT SOURCE. Events are submitted via EMS by every department, so a large share of the dept pages below are duplicates of this. Audience filter 'Open to the Public' is exactly your use case. Note: calendar.princeton.edu redirects here.</t>
  </si>
  <si>
    <t xml:space="preserve">Audience = 'Open to the Public' (URL param event_audience=4936): 14 pages ≈ 410 events, Sep 6 2026 – May 2027. Unfiltered: 23 pages ≈ 677.</t>
  </si>
  <si>
    <t xml:space="preserve">PU-002</t>
  </si>
  <si>
    <t xml:space="preserve">https://tickets.princeton.edu/</t>
  </si>
  <si>
    <t xml:space="preserve">tickets.princeton.edu</t>
  </si>
  <si>
    <t xml:space="preserve">UT</t>
  </si>
  <si>
    <t xml:space="preserve">University Ticketing (Frist ticket office)</t>
  </si>
  <si>
    <t xml:space="preserve">Arts / Music / Athletics / Theatre</t>
  </si>
  <si>
    <t xml:space="preserve">Public (ticketed)</t>
  </si>
  <si>
    <t xml:space="preserve">AudienceView ticketing (JS-heavy). 'Search Events' with date range; events grouped by organization (Athletics, Music, Lewis Center, PU Concerts, Richardson, Theatre Intime, Chapel). No feed.</t>
  </si>
  <si>
    <t xml:space="preserve">Search/date-filter driven; no simple numbered pages.</t>
  </si>
  <si>
    <t xml:space="preserve">Verified live (Sep 5 2026)</t>
  </si>
  <si>
    <t xml:space="preserve">Partial (landing page only)</t>
  </si>
  <si>
    <t xml:space="preserve">Landing page shows organizations, not events</t>
  </si>
  <si>
    <t xml:space="preserve">Ticket purchase system rather than a calendar; useful to confirm ticketed/public status. Overlaps heavily with concerts, music, arts, athletics rows.</t>
  </si>
  <si>
    <t xml:space="preserve">None (page default view)</t>
  </si>
  <si>
    <t xml:space="preserve">PU-003</t>
  </si>
  <si>
    <t xml:space="preserve">https://lectures.princeton.edu/lectures</t>
  </si>
  <si>
    <t xml:space="preserve">lectures.princeton.edu</t>
  </si>
  <si>
    <t xml:space="preserve">PUPL</t>
  </si>
  <si>
    <t xml:space="preserve">Princeton University Public Lectures</t>
  </si>
  <si>
    <t xml:space="preserve">Lectures (all subjects; endowed series)</t>
  </si>
  <si>
    <t xml:space="preserve">Public (page states all events free and open to the public)</t>
  </si>
  <si>
    <t xml:space="preserve">Drupal (Princeton Site Builder). List paginates with ?page=N (10-20 per page); each event usually has an 'Add to calendar' .ics link; many pull from central EMS calendar. Usually a short season list, not paginated.</t>
  </si>
  <si>
    <t xml:space="preserve">Upcoming block is unpaginated; 'Past Lectures' uses Drupal ?page=N with filters (year, series, topic)</t>
  </si>
  <si>
    <t xml:space="preserve">OK</t>
  </si>
  <si>
    <t xml:space="preserve">5 upcoming (season list); past lectures paginated ?page=N, 9+ pages</t>
  </si>
  <si>
    <t xml:space="preserve">First: Sep 15, 2026 (Edmund de Waal) | Last: Nov 5, 2026 (Ruth Wilson Gilmore)</t>
  </si>
  <si>
    <t xml:space="preserve">Topics tagged Art &amp; Humanities / Politics &amp; Society / Tech &amp; Natural Sciences; Zoom + livestream for most. Drupal. | High value: all Public Lectures series are explicitly open to the public. Also appear in central calendar.</t>
  </si>
  <si>
    <t xml:space="preserve">PU-004</t>
  </si>
  <si>
    <t xml:space="preserve">https://community.princeton.edu/news-events/upcoming-public-events</t>
  </si>
  <si>
    <t xml:space="preserve">community.princeton.edu</t>
  </si>
  <si>
    <t xml:space="preserve">CRA</t>
  </si>
  <si>
    <t xml:space="preserve">Office of Community and Regional Affairs</t>
  </si>
  <si>
    <t xml:space="preserve">Community / general public events</t>
  </si>
  <si>
    <t xml:space="preserve">Public (page is explicitly a curated list of public events)</t>
  </si>
  <si>
    <t xml:space="preserve">Drupal (Princeton Site Builder). List paginates with ?page=N (10-20 per page); each event usually has an 'Add to calendar' .ics link; many pull from central EMS calendar.</t>
  </si>
  <si>
    <t xml:space="preserve">Single page; filters by Event Category (Free &amp; Open / Free Registration / Free Tickets / Purchased Tickets)</t>
  </si>
  <si>
    <t xml:space="preserve">25 events on one page (no pagination shown)</t>
  </si>
  <si>
    <t xml:space="preserve">First: Sep 6, 2026 (Summer Carillon Concert) | Last: Dec 5, 2026 (Holiday Science Lecture)</t>
  </si>
  <si>
    <t xml:space="preserve">CRA also sends UPROAR, a Friday e-newsletter of public events — subscribe as a zero-effort baseline. Drupal. Page says it's a 'sampling', not exhaustive. | Curated by CRA specifically for the public; strong signal source. Duplicates central calendar.</t>
  </si>
  <si>
    <t xml:space="preserve">PU-005</t>
  </si>
  <si>
    <t xml:space="preserve">https://libcal.princeton.edu/calendar/events</t>
  </si>
  <si>
    <t xml:space="preserve">libcal.princeton.edu</t>
  </si>
  <si>
    <t xml:space="preserve">PUL</t>
  </si>
  <si>
    <t xml:space="preserve">Princeton University Library (LibCal)</t>
  </si>
  <si>
    <t xml:space="preserve">Library talks, workshops, exhibitions</t>
  </si>
  <si>
    <t xml:space="preserve">Mixed (audience filter incl. 'Member of the Public')</t>
  </si>
  <si>
    <t xml:space="preserve">Springshare LibCal. Card/day/month views via ?t= param and cal[] ids; page-level 'iCal' subscription link (ICS) and public JSON API. JS-rendered list; ICS is the reliable path.</t>
  </si>
  <si>
    <t xml:space="preserve">Card view loads ~ events by date; Day/List/Month/Week views via ?t=d|m|w; JS-driven.</t>
  </si>
  <si>
    <t xml:space="preserve">Yes</t>
  </si>
  <si>
    <t xml:space="preserve">List is JS-rendered; not countable via plain fetch</t>
  </si>
  <si>
    <t xml:space="preserve">Audience filter values include 'Member of the Public' and 'Friends of PUL'. Page-level 'iCal' subscription link — best automation path.</t>
  </si>
  <si>
    <t xml:space="preserve">PU-006</t>
  </si>
  <si>
    <t xml:space="preserve">https://artmuseum.princeton.edu/exhibitions-events/events</t>
  </si>
  <si>
    <t xml:space="preserve">artmuseum.princeton.edu</t>
  </si>
  <si>
    <t xml:space="preserve">PUAM</t>
  </si>
  <si>
    <t xml:space="preserve">Princeton University Art Museum</t>
  </si>
  <si>
    <t xml:space="preserve">Art / museum programs</t>
  </si>
  <si>
    <t xml:space="preserve">Public (museum programs); no per-event audience field; 'Members' type flags members-only</t>
  </si>
  <si>
    <t xml:space="preserve">Drupal (Princeton Site Builder). List paginates with ?page=N (10-20 per page); each event usually has an 'Add to calendar' .ics link; many pull from central EMS calendar. (custom theme). Events list with date filters; ?page=N likely.</t>
  </si>
  <si>
    <t xml:space="preserve">Drupal ?page=N, 12 per page, numbered + next/last; filters: Event Type (Art Making, Family, Film &amp; Performance, Members, Special Events, Talks, Tours), Location (Art@Bainbridge, Museum, Off Campus, On Campus, Online), 'Happening on or after' date</t>
  </si>
  <si>
    <t xml:space="preserve">192 events ('Showing 192 event(s)'), 12 per page, 16 pages (?page=0..15)</t>
  </si>
  <si>
    <t xml:space="preserve">First: Sep 5, 2026 (Art for Families; Collections Highlights Tour) | Last: Apr 19, 2027 (Brad Mehldau: In Conversation &amp; Performance)</t>
  </si>
  <si>
    <t xml:space="preserve">Dominated by daily recurring items (Creativity Labs Open Studio, Collections Highlights Tour) — filter Event Type = Talks / Film &amp; Performance / Special Events to cut ~80% of volume. Drupal. | Museum programs are open to public; large volume of drop-in programs (Open Studio, tours). Duplicates in central calendar under 'Arts'.</t>
  </si>
  <si>
    <t xml:space="preserve">PU-007</t>
  </si>
  <si>
    <t xml:space="preserve">https://artmuseum.princeton.edu/exhibitions-events/exhibitions</t>
  </si>
  <si>
    <t xml:space="preserve">Art exhibitions</t>
  </si>
  <si>
    <t xml:space="preserve">Public</t>
  </si>
  <si>
    <t xml:space="preserve">Same site as parent; exhibitions listed as date ranges, not events.</t>
  </si>
  <si>
    <t xml:space="preserve">Single page or ?page=N</t>
  </si>
  <si>
    <t xml:space="preserve">Not yet fetched — platform/pagination inferred from site type</t>
  </si>
  <si>
    <t xml:space="preserve">No</t>
  </si>
  <si>
    <t xml:space="preserve">Likely active</t>
  </si>
  <si>
    <t xml:space="preserve">Child of the museum events row; exhibitions are long-running date ranges — handle as 'ongoing' not daily events.</t>
  </si>
  <si>
    <t xml:space="preserve">PU-008</t>
  </si>
  <si>
    <t xml:space="preserve">https://artmuseum.princeton.edu/exhibitions-events/exhibitions?status=222</t>
  </si>
  <si>
    <t xml:space="preserve">Art exhibitions (status-filtered, likely 'current' or 'upcoming')</t>
  </si>
  <si>
    <t xml:space="preserve">Filtered view of parent.</t>
  </si>
  <si>
    <t xml:space="preserve">Same as parent</t>
  </si>
  <si>
    <t xml:space="preserve">Duplicate of row PU-007 with a status filter (status=222 is a taxonomy id; likely 'Upcoming' or 'Current'). Keep one.</t>
  </si>
  <si>
    <t xml:space="preserve">PU-009</t>
  </si>
  <si>
    <t xml:space="preserve">https://artmuseum.princeton.edu/</t>
  </si>
  <si>
    <t xml:space="preserve">Art (home page)</t>
  </si>
  <si>
    <t xml:space="preserve">Home page; features a handful of highlighted events.</t>
  </si>
  <si>
    <t xml:space="preserve">None</t>
  </si>
  <si>
    <t xml:space="preserve">Not a calendar; drop from crawl, keep as reference.</t>
  </si>
  <si>
    <t xml:space="preserve">PU-010</t>
  </si>
  <si>
    <t xml:space="preserve">https://fpul.princeton.edu/events</t>
  </si>
  <si>
    <t xml:space="preserve">fpul.princeton.edu</t>
  </si>
  <si>
    <t xml:space="preserve">FPUL</t>
  </si>
  <si>
    <t xml:space="preserve">Friends of Princeton University Library</t>
  </si>
  <si>
    <t xml:space="preserve">Library / book / collections talks</t>
  </si>
  <si>
    <t xml:space="preserve">Public (Friends events open to all; some members-only)</t>
  </si>
  <si>
    <t xml:space="preserve">?page=N</t>
  </si>
  <si>
    <t xml:space="preserve">Overlaps LibCal 'Friends of PUL' audience filter.</t>
  </si>
  <si>
    <t xml:space="preserve">PU-011</t>
  </si>
  <si>
    <t xml:space="preserve">https://libcal.princeton.edu/calendar/events?&amp;t=d&amp;d=0000-00-00&amp;cal[]=12260&amp;ct[]=50867</t>
  </si>
  <si>
    <t xml:space="preserve">Princeton University Library (LibCal) — day view, single calendar, category filter</t>
  </si>
  <si>
    <t xml:space="preserve">Library</t>
  </si>
  <si>
    <t xml:space="preserve">Mixed</t>
  </si>
  <si>
    <t xml:space="preserve">Day view (t=d); d=0000-00-00 = today; cal[]=12260 calendar id; ct[]=50867 category id.</t>
  </si>
  <si>
    <t xml:space="preserve">Filtered view of PU-005 (same data). The cal/ct ids can be reused to build a filtered ICS subscription.</t>
  </si>
  <si>
    <t xml:space="preserve">As given in your URL (cal/ct/audience ids) — not yet exercised in Chrome.</t>
  </si>
  <si>
    <t xml:space="preserve">PU-012</t>
  </si>
  <si>
    <t xml:space="preserve">https://libcal.princeton.edu/calendar/events?&amp;t=d&amp;cal[]=12260&amp;audience[]=2765</t>
  </si>
  <si>
    <t xml:space="preserve">Princeton University Library (LibCal) — audience-filtered view</t>
  </si>
  <si>
    <t xml:space="preserve">Public (audience id 2765, likely 'Member of the Public')</t>
  </si>
  <si>
    <t xml:space="preserve">Day view; audience[]=2765.</t>
  </si>
  <si>
    <t xml:space="preserve">Filtered view of PU-005. audience[]=2765 is probably the 'Member of the Public' filter — this is the one to keep if you only keep one LibCal URL.</t>
  </si>
  <si>
    <t xml:space="preserve">TOWN-013</t>
  </si>
  <si>
    <t xml:space="preserve">https://princetonlibrary.libnet.info/events?n=90&amp;a=Adults%2CAll+Ages&amp;r=days</t>
  </si>
  <si>
    <t xml:space="preserve">princetonlibrary.libnet.info</t>
  </si>
  <si>
    <t xml:space="preserve">Town of Princeton (not University)</t>
  </si>
  <si>
    <t xml:space="preserve">PPL</t>
  </si>
  <si>
    <t xml:space="preserve">Princeton Public Library (town)</t>
  </si>
  <si>
    <t xml:space="preserve">Community / talks / film / books</t>
  </si>
  <si>
    <t xml:space="preserve">Public; every event tagged with Age Group and registration status (*NO REGISTRATION / *REGISTRATION REQUESTED / *REQUIRED)</t>
  </si>
  <si>
    <t xml:space="preserve">TOWN-046</t>
  </si>
  <si>
    <t xml:space="preserve">LibraryMarket (libnet.info). Filter via ?n=days&amp;a=audience; JS list with 'load more'; ICS per event; no site-wide feed documented.</t>
  </si>
  <si>
    <t xml:space="preserve">No pagination: n=&lt;days&gt; controls range and everything loads on one page; filters for Location, Age Group, Event Type; date-range presets</t>
  </si>
  <si>
    <t xml:space="preserve">Hundreds — the 90-day window renders as one very long list (page text ~100k characters; ~10-15 events/day)</t>
  </si>
  <si>
    <t xml:space="preserve">First: Sep 6, 2026 (Writers Project Workshop) | Last: Dec 4, 2026 (end of 90-day window; n=90 sets the range)</t>
  </si>
  <si>
    <t xml:space="preserve">Page exposes RSS and 'Add To Calendar' (ICS) links — use the RSS feed rather than scraping. Rich Event Type taxonomy (AUTHOR TALKS, LECTURES &amp; PANELS, FILMS, MUSIC &amp; PERFORMANCES, BOOK GROUPS...) enables rule-based filtering. Many Labyrinth co-hosted author talks appear here too. Includes lots of recurring low-value items (English conversation, tech help, knitting) — filter by type. | This is the actual event engine behind princetonlibrary.org/events (the princetonlibrary.org row). Keep this one for automation.</t>
  </si>
  <si>
    <t xml:space="preserve">Age Group = Adults, All Ages; range = 90 days (n=90, as given in your URL).</t>
  </si>
  <si>
    <t xml:space="preserve">PU-014</t>
  </si>
  <si>
    <t xml:space="preserve">https://music.princeton.edu/events</t>
  </si>
  <si>
    <t xml:space="preserve">music.princeton.edu</t>
  </si>
  <si>
    <t xml:space="preserve">MUS</t>
  </si>
  <si>
    <t xml:space="preserve">Department of Music</t>
  </si>
  <si>
    <t xml:space="preserve">Music / concerts</t>
  </si>
  <si>
    <t xml:space="preserve">Public (concerts; many free, some ticketed via tickets.princeton.edu)</t>
  </si>
  <si>
    <t xml:space="preserve">WordPress, likely 'The Events Calendar' plugin. List view paginates /events/list/?paged=N; usually exposes ?ical=1 (ICS) and ?tribe-bar-date filters; JSON at /wp-json/tribe/events/v1/events.</t>
  </si>
  <si>
    <t xml:space="preserve">Single-page list (fall semester); filters: Category, Type + Apply. Spring events appear later</t>
  </si>
  <si>
    <t xml:space="preserve">~30 events on one list (semester through Dec 15, 2026); no pagination detected</t>
  </si>
  <si>
    <t xml:space="preserve">First: Sep 10, 2026 (Sō Percussion Concert) | Last: Dec 15, 2026 (Longleash)</t>
  </si>
  <si>
    <t xml:space="preserve">Includes Princeton University Concerts (PUC) events in-line, so concerts.princeton.edu overlaps heavily. Drupal (not WordPress as guessed). | Overlaps tickets.princeton.edu, concerts.princeton.edu, central calendar.</t>
  </si>
  <si>
    <t xml:space="preserve">PU-015</t>
  </si>
  <si>
    <t xml:space="preserve">https://humanities.princeton.edu/events/</t>
  </si>
  <si>
    <t xml:space="preserve">humanities.princeton.edu</t>
  </si>
  <si>
    <t xml:space="preserve">PCH</t>
  </si>
  <si>
    <t xml:space="preserve">Humanities Council</t>
  </si>
  <si>
    <t xml:space="preserve">Humanities lectures / seminars</t>
  </si>
  <si>
    <t xml:space="preserve">Mixed — Audiences filter includes 'Free and open to the public', 'Faculty', 'Registration Required'</t>
  </si>
  <si>
    <t xml:space="preserve">WordPress 'The Events Calendar': /events/list/page/N/ with Previous/Next Events links; filters: Types, Audiences</t>
  </si>
  <si>
    <t xml:space="preserve">10 per page ('10 events found' on page 1); paginated further via Next Events; total not shown</t>
  </si>
  <si>
    <t xml:space="preserve">First: Sep 8, 2026 (Seeing Beyond Sugar in Cuba) | Last: Sep 16, 2026 on page 1; later pages not read</t>
  </si>
  <si>
    <t xml:space="preserve">CONFIRMED FEED: 'Subscribe to calendar' → Google Calendar / Export .ics / Outlook .ics (ICS feed). Aggregates humanities depts and Labyrinth book talks. Prefer the ICS feed over scraping. | Council aggregates many humanities programs; overlaps initiative.humanities (the Humanities Initiative row) and dept pages.</t>
  </si>
  <si>
    <t xml:space="preserve">PU-016</t>
  </si>
  <si>
    <t xml:space="preserve">https://piirs.princeton.edu/events</t>
  </si>
  <si>
    <t xml:space="preserve">piirs.princeton.edu</t>
  </si>
  <si>
    <t xml:space="preserve">PIIRS</t>
  </si>
  <si>
    <t xml:space="preserve">Princeton Institute for International and Regional Studies</t>
  </si>
  <si>
    <t xml:space="preserve">International affairs / area studies</t>
  </si>
  <si>
    <t xml:space="preserve">Unknown per event (host program shown, not audience); PIIRS lectures generally public</t>
  </si>
  <si>
    <t xml:space="preserve">Drupal ?pager_id=0&amp;page=N (5 pages); filter: Event Host (regional programs)</t>
  </si>
  <si>
    <t xml:space="preserve">OK (note: paginated URL triggered a Cloudflare 'verify you are human' interstitial that cleared after ~6s in a real browser — headless crawlers may be blocked)</t>
  </si>
  <si>
    <t xml:space="preserve">10 per page x 4 pages + 4 on page 5 = 44 upcoming</t>
  </si>
  <si>
    <t xml:space="preserve">First: Sep 8-10, 2026 (Global Japan Lab talk; REEES Film Series) | Last: Feb 25, 2027 (Timothy Garton Ash: Are Europe and the US Parting Ways?)</t>
  </si>
  <si>
    <t xml:space="preserve">Aggregates all PIIRS regional programs (Global Japan Lab, REEES, Center for Global India, Center on Contemporary China, Fung, Iran &amp; Persian Gulf) — so the Fung GFP and CIPGS rows are redundant. Cloudflare bot check is a crawler risk. | Parent hub for regional programs (Fung, IPGS, etc.).</t>
  </si>
  <si>
    <t xml:space="preserve">PU-017</t>
  </si>
  <si>
    <t xml:space="preserve">https://history.princeton.edu/news-events/events</t>
  </si>
  <si>
    <t xml:space="preserve">history.princeton.edu</t>
  </si>
  <si>
    <t xml:space="preserve">HIS</t>
  </si>
  <si>
    <t xml:space="preserve">Department of History</t>
  </si>
  <si>
    <t xml:space="preserve">History</t>
  </si>
  <si>
    <t xml:space="preserve">Mixed — Audience filter with an explicit 'Public' option</t>
  </si>
  <si>
    <t xml:space="preserve">Drupal ?pager_id=0&amp;page=N (4 pages); Calendar View alternative; filters: Audience (Princeton University / Public / History Department / By Invitation Only), Event Type</t>
  </si>
  <si>
    <t xml:space="preserve">~20 per page x 3 + 14 on page 4 ≈ 74 upcoming</t>
  </si>
  <si>
    <t xml:space="preserve">First: Sep 8, 2026 (The Age of Hobsbawm) | Last: Apr 29, 2027 (Lawrence Stone Lectures, Part 3)</t>
  </si>
  <si>
    <t xml:space="preserve">Full year posted (Stone Lectures, Tanner Lectures, Anti-Zionism series). Use the Audience=Public filter. Drupal.</t>
  </si>
  <si>
    <t xml:space="preserve">PU-018</t>
  </si>
  <si>
    <t xml:space="preserve">https://innovation.princeton.edu/events</t>
  </si>
  <si>
    <t xml:space="preserve">innovation.princeton.edu</t>
  </si>
  <si>
    <t xml:space="preserve">PIE</t>
  </si>
  <si>
    <t xml:space="preserve">Princeton Innovation / Office of Innovation &amp; Entrepreneurship (Keller Center adjacent)</t>
  </si>
  <si>
    <t xml:space="preserve">Innovation / entrepreneurship / VC</t>
  </si>
  <si>
    <t xml:space="preserve">Unknown (no audience field); Celebrate Princeton Innovation Oct 21 is the flagship public-facing event</t>
  </si>
  <si>
    <t xml:space="preserve">Single list + month calendar (List/Calendar toggle); no numbered pages</t>
  </si>
  <si>
    <t xml:space="preserve">5 upcoming (list + month calendar)</t>
  </si>
  <si>
    <t xml:space="preserve">First: Sep 23, 2026 (NJEDA Innovation Office Hours) | Last: Nov 18, 2026</t>
  </si>
  <si>
    <t xml:space="preserve">Thin calendar; page points to partner sites (Dean for Research, OTL/New Ventures, Keller Center, gradFUTURES, Catalysis) for full lists — Keller Center is missing from your list and is the better entrepreneurship source. Drupal. | Directly matches your COS/EGR 448 / VC interests. Central calendar category 'Innovation &amp; Entrepreneurship' is the same feed.</t>
  </si>
  <si>
    <t xml:space="preserve">PU-019</t>
  </si>
  <si>
    <t xml:space="preserve">https://renaissance.princeton.edu/events/</t>
  </si>
  <si>
    <t xml:space="preserve">renaissance.princeton.edu</t>
  </si>
  <si>
    <t xml:space="preserve">REMS</t>
  </si>
  <si>
    <t xml:space="preserve">Program in Renaissance and Early Modern Studies</t>
  </si>
  <si>
    <t xml:space="preserve">Humanities / history</t>
  </si>
  <si>
    <t xml:space="preserve">?paged=N</t>
  </si>
  <si>
    <t xml:space="preserve">PU-020</t>
  </si>
  <si>
    <t xml:space="preserve">https://uchv.princeton.edu/events</t>
  </si>
  <si>
    <t xml:space="preserve">uchv.princeton.edu</t>
  </si>
  <si>
    <t xml:space="preserve">UCHV</t>
  </si>
  <si>
    <t xml:space="preserve">University Center for Human Values</t>
  </si>
  <si>
    <t xml:space="preserve">Ethics / philosophy / political theory</t>
  </si>
  <si>
    <t xml:space="preserve">Mixed — each event tagged 'Open to the Public', 'Princeton University ID Holders', or 'ID Holders and Other Academic Affiliates'; ~40% public</t>
  </si>
  <si>
    <t xml:space="preserve">Drupal ?page=N (Current/Next/Last links); filter by Event Category (16 series incl. Tanner, Moffett, DeCamp, Film Forum, FHPT, MIH Workshop, PEPA)</t>
  </si>
  <si>
    <t xml:space="preserve">25 per page, 2 pages (~50 upcoming)</t>
  </si>
  <si>
    <t xml:space="preserve">First: Sep 9, 2026 | Last: Nov 4, 2026 on page 1; page 2 not read</t>
  </si>
  <si>
    <t xml:space="preserve">All 7 UCHV sub-pages in your list are category filters of this page — crawl this one only. Explicit audience labels make filtering trivial. Drupal. | Parent of the 7 UCHV series pages below (the seven UCHV series rows). If you crawl this one, the children are redundant.</t>
  </si>
  <si>
    <t xml:space="preserve">PU-021</t>
  </si>
  <si>
    <t xml:space="preserve">https://uchv.princeton.edu/events/tanner-lectures-human-values</t>
  </si>
  <si>
    <t xml:space="preserve">University Center for Human Values — Tanner Lectures on Human Values</t>
  </si>
  <si>
    <t xml:space="preserve">Ethics / philosophy / political thought / bioethics</t>
  </si>
  <si>
    <t xml:space="preserve">Series sub-page of the UCHV Drupal site.</t>
  </si>
  <si>
    <t xml:space="preserve">Usually one page per series</t>
  </si>
  <si>
    <t xml:space="preserve">Child of PU-020; same events appear on the parent list.</t>
  </si>
  <si>
    <t xml:space="preserve">PU-022</t>
  </si>
  <si>
    <t xml:space="preserve">https://uchv.princeton.edu/events/james-moffett-29-lectures-ethics</t>
  </si>
  <si>
    <t xml:space="preserve">University Center for Human Values — James A. Moffett '29 Lectures in Ethics</t>
  </si>
  <si>
    <t xml:space="preserve">PU-023</t>
  </si>
  <si>
    <t xml:space="preserve">https://uchv.princeton.edu/events/ira-w-decamp-bioethics-seminars</t>
  </si>
  <si>
    <t xml:space="preserve">University Center for Human Values — Ira W. DeCamp Bioethics Seminars</t>
  </si>
  <si>
    <t xml:space="preserve">Mixed (workshops often by invitation)</t>
  </si>
  <si>
    <t xml:space="preserve">PU-024</t>
  </si>
  <si>
    <t xml:space="preserve">https://uchv.princeton.edu/events/film-forum</t>
  </si>
  <si>
    <t xml:space="preserve">University Center for Human Values — UCHV Film Forum</t>
  </si>
  <si>
    <t xml:space="preserve">Ethics / philosophy / film</t>
  </si>
  <si>
    <t xml:space="preserve">PU-025</t>
  </si>
  <si>
    <t xml:space="preserve">https://uchv.princeton.edu/events/forum-history-political-thought</t>
  </si>
  <si>
    <t xml:space="preserve">University Center for Human Values — Forum for the History of Political Thought</t>
  </si>
  <si>
    <t xml:space="preserve">PU-026</t>
  </si>
  <si>
    <t xml:space="preserve">https://uchv.princeton.edu/events/modern-intellectual-history-workshop</t>
  </si>
  <si>
    <t xml:space="preserve">University Center for Human Values — Modern Intellectual History Workshop</t>
  </si>
  <si>
    <t xml:space="preserve">PU-027</t>
  </si>
  <si>
    <t xml:space="preserve">https://uchv.princeton.edu/events/program-ethics-and-public-affairs</t>
  </si>
  <si>
    <t xml:space="preserve">University Center for Human Values — Program in Ethics and Public Affairs</t>
  </si>
  <si>
    <t xml:space="preserve">PU-028</t>
  </si>
  <si>
    <t xml:space="preserve">https://climatefutures.princeton.edu/events/</t>
  </si>
  <si>
    <t xml:space="preserve">climatefutures.princeton.edu</t>
  </si>
  <si>
    <t xml:space="preserve">CFI?</t>
  </si>
  <si>
    <t xml:space="preserve">Climate Futures Initiative (Princeton)</t>
  </si>
  <si>
    <t xml:space="preserve">Climate / environment</t>
  </si>
  <si>
    <t xml:space="preserve">Overlaps HMEI (the HMEI row) and CPREE (the C-PREE row).</t>
  </si>
  <si>
    <t xml:space="preserve">AFF-029</t>
  </si>
  <si>
    <t xml:space="preserve">https://www.ias.edu/calendar?cat[291]=291&amp;date=today</t>
  </si>
  <si>
    <t xml:space="preserve">www.ias.edu</t>
  </si>
  <si>
    <t xml:space="preserve">University-affiliated / adjacent</t>
  </si>
  <si>
    <t xml:space="preserve">IAS</t>
  </si>
  <si>
    <t xml:space="preserve">Institute for Advanced Study (independent; not part of PU)</t>
  </si>
  <si>
    <t xml:space="preserve">Public lectures, concerts, film</t>
  </si>
  <si>
    <t xml:space="preserve">Public (filtered category); confirmed cat[291] = 'Public'</t>
  </si>
  <si>
    <t xml:space="preserve">Drupal. Category filter cat[291]; date=today; paginates ?page=N. IAS also publishes an 'Events' RSS.</t>
  </si>
  <si>
    <t xml:space="preserve">Day-based list; ?date= and ?page=N 'Go to next page'; Filters: Schools (4), Categories (Public, Academic, Campus Community, Friends, Staff), Other (AfterHours, AMIAS, Artist in Residence...)</t>
  </si>
  <si>
    <t xml:space="preserve">FILTER APPLIED (cat[291]=291 = Categories: Public): 0 results on Sep 5, 2026 ('no results that match your criteria'). Unfiltered calendar shows a day-by-day list of academic seminars (astrophysics colloquia, reading groups) with next-page pagination</t>
  </si>
  <si>
    <t xml:space="preserve">First: n/a (filtered view empty); unfiltered: Sep 2026 (Photo Day, IAS/PU Joint Astrophysics Colloquium) | Last: n/a</t>
  </si>
  <si>
    <t xml:space="preserve">Page offers an 'iCal Feeds' section with per-category ICS subscriptions — subscribe to the Public feed instead of scraping. Public events (Friends lectures, concerts, film) tend to be posted closer to the date; re-check monthly. Drupal. | IAS is a separate institution on Olden Lane; flagged as affiliated/adjacent, not University.</t>
  </si>
  <si>
    <t xml:space="preserve">Category = Public (cat[291]=291, as given in your URL) — 0 results on Sep 5 2026; unfiltered calendar has events.</t>
  </si>
  <si>
    <t xml:space="preserve">PU-030</t>
  </si>
  <si>
    <t xml:space="preserve">https://effroncenter.princeton.edu/events</t>
  </si>
  <si>
    <t xml:space="preserve">effroncenter.princeton.edu</t>
  </si>
  <si>
    <t xml:space="preserve">ECAS</t>
  </si>
  <si>
    <t xml:space="preserve">Effron Center for the Study of America</t>
  </si>
  <si>
    <t xml:space="preserve">American studies</t>
  </si>
  <si>
    <t xml:space="preserve">Unknown per event; labels are program tags (AMS, ASA, LAO, NAI, CTP, cosponsored) not audience</t>
  </si>
  <si>
    <t xml:space="preserve">Single list + List/Calendar toggle with month navigation; no numbered pages; 'View Archive' for past</t>
  </si>
  <si>
    <t xml:space="preserve">23 upcoming on one list</t>
  </si>
  <si>
    <t xml:space="preserve">First: Sep 8, 2026 (a stale Apr 19, 2026 exhibition entry also sits at the top) | Last: Dec 1, 2026 (PAIISWG Lecture: Jenny L. Davis)</t>
  </si>
  <si>
    <t xml:space="preserve">Program tags (American Studies, Asian American, Latino, Native American &amp; Indigenous, Cultural Theory) useful for topic filtering. Drupal.</t>
  </si>
  <si>
    <t xml:space="preserve">PU-031</t>
  </si>
  <si>
    <t xml:space="preserve">https://ai.princeton.edu/events</t>
  </si>
  <si>
    <t xml:space="preserve">ai.princeton.edu</t>
  </si>
  <si>
    <t xml:space="preserve">PAI</t>
  </si>
  <si>
    <t xml:space="preserve">Princeton AI Lab / AI Initiative</t>
  </si>
  <si>
    <t xml:space="preserve">Artificial intelligence</t>
  </si>
  <si>
    <t xml:space="preserve">Unknown (no audience field)</t>
  </si>
  <si>
    <t xml:space="preserve">Upcoming list unpaginated; Past Events uses Drupal pager ?pager_id=1&amp;page=0,N (3 pages)</t>
  </si>
  <si>
    <t xml:space="preserve">2 upcoming (Upcoming tab); Past Events tab is the paginated one</t>
  </si>
  <si>
    <t xml:space="preserve">First: Sep 9, 2026 (Rafael Gomez-Bombarelli) | Last: Nov 18, 2026 (AI² Research Talk Series)</t>
  </si>
  <si>
    <t xml:space="preserve">Thin; the central calendar's 'Artificial Intelligence' category carries far more AI events (CITP, COS, PLI). Low crawl priority. Drupal. | Central calendar has an 'Artificial Intelligence' category with same events.</t>
  </si>
  <si>
    <t xml:space="preserve">PU-032</t>
  </si>
  <si>
    <t xml:space="preserve">https://spia.princeton.edu/events</t>
  </si>
  <si>
    <t xml:space="preserve">spia.princeton.edu</t>
  </si>
  <si>
    <t xml:space="preserve">SPIA</t>
  </si>
  <si>
    <t xml:space="preserve">School of Public and International Affairs</t>
  </si>
  <si>
    <t xml:space="preserve">Public policy / politics / international affairs</t>
  </si>
  <si>
    <t xml:space="preserve">Mixed — has an Audience filter; some descriptions say 'Open to the Public and the Princeton University Community' with Media Central livestream</t>
  </si>
  <si>
    <t xml:space="preserve">Drupal (Princeton Site Builder). List paginates with ?page=N (10-20 per page); each event usually has an 'Add to calendar' .ics link; many pull from central EMS calendar. SPIA list has audience/type filters.</t>
  </si>
  <si>
    <t xml:space="preserve">Numbered pages 1-5 + NEXT/LAST (Drupal ?page=N); filters: keyword, When, Type, Audience, Department, Topic; shows 'Displaying results 1-10 of 43'</t>
  </si>
  <si>
    <t xml:space="preserve">10 per page, 43 total (5 pages)</t>
  </si>
  <si>
    <t xml:space="preserve">First: Sep 8, 2026 (CITP Seminar; Dean's Leadership Series 9/11@25) | Last: Sep 17, 2026 on page 1; pages 2-5 not read</t>
  </si>
  <si>
    <t xml:space="preserve">Aggregates SPIA centers (CITP, CSDP, C-PREE, KCBP, LISD, ICEA, JRCPPF) via Department filter — the child rows are redundant. Includes student-only items (SINSI open houses, field trips). Drupal. | Parent of the Dean's Leadership Series, JRCPPF, and ICEA rows and hosts CITP/CSDP-adjacent events.</t>
  </si>
  <si>
    <t xml:space="preserve">PU-033</t>
  </si>
  <si>
    <t xml:space="preserve">https://spia.princeton.edu/events/deans-leadership-series</t>
  </si>
  <si>
    <t xml:space="preserve">SPIA — Dean's Leadership Series</t>
  </si>
  <si>
    <t xml:space="preserve">Public policy / leadership</t>
  </si>
  <si>
    <t xml:space="preserve">Series sub-page.</t>
  </si>
  <si>
    <t xml:space="preserve">One page</t>
  </si>
  <si>
    <t xml:space="preserve">Child of PU-032.</t>
  </si>
  <si>
    <t xml:space="preserve">PU-034</t>
  </si>
  <si>
    <t xml:space="preserve">https://spia.princeton.edu/departments/julis-rabinowitz-center-public-policy-and-finance</t>
  </si>
  <si>
    <t xml:space="preserve">JRCPPF</t>
  </si>
  <si>
    <t xml:space="preserve">Julis-Rabinowitz Center for Public Policy &amp; Finance (SPIA)</t>
  </si>
  <si>
    <t xml:space="preserve">Finance / economic policy</t>
  </si>
  <si>
    <t xml:space="preserve">Department landing page (not an events list) on SPIA Drupal site.</t>
  </si>
  <si>
    <t xml:space="preserve">Not an events page; JRCPPF events live on jrc.princeton.edu/events and in SPIA list. Consider replacing URL.</t>
  </si>
  <si>
    <t xml:space="preserve">PU-035</t>
  </si>
  <si>
    <t xml:space="preserve">https://concerts.princeton.edu/events/</t>
  </si>
  <si>
    <t xml:space="preserve">concerts.princeton.edu</t>
  </si>
  <si>
    <t xml:space="preserve">PUC</t>
  </si>
  <si>
    <t xml:space="preserve">Princeton University Concerts</t>
  </si>
  <si>
    <t xml:space="preserve">Classical / chamber music</t>
  </si>
  <si>
    <t xml:space="preserve">WordPress, likely 'The Events Calendar' plugin. List view paginates /events/list/?paged=N; usually exposes ?ical=1 (ICS) and ?tribe-bar-date filters; JSON at /wp-json/tribe/events/v1/events. Season listing.</t>
  </si>
  <si>
    <t xml:space="preserve">?paged=N or single season page</t>
  </si>
  <si>
    <t xml:space="preserve">Overlaps tickets.princeton.edu and music.princeton.edu.</t>
  </si>
  <si>
    <t xml:space="preserve">PU-036</t>
  </si>
  <si>
    <t xml:space="preserve">https://my.princeton.edu/events</t>
  </si>
  <si>
    <t xml:space="preserve">my.princeton.edu</t>
  </si>
  <si>
    <t xml:space="preserve">MyPU</t>
  </si>
  <si>
    <t xml:space="preserve">my.princeton.edu (Campus Groups / student org calendar)</t>
  </si>
  <si>
    <t xml:space="preserve">Student organizations / campus life</t>
  </si>
  <si>
    <t xml:space="preserve">Princeton-only (CampusGroups; login needed for most)</t>
  </si>
  <si>
    <t xml:space="preserve">CampusGroups (JS app). Public listing limited; most detail requires NetID login.</t>
  </si>
  <si>
    <t xml:space="preserve">Infinite scroll</t>
  </si>
  <si>
    <t xml:space="preserve">Mostly student events; low value for public attendance. Likely not fetchable without login.</t>
  </si>
  <si>
    <t xml:space="preserve">PU-037</t>
  </si>
  <si>
    <t xml:space="preserve">https://lisd.princeton.edu/events</t>
  </si>
  <si>
    <t xml:space="preserve">lisd.princeton.edu</t>
  </si>
  <si>
    <t xml:space="preserve">LISD</t>
  </si>
  <si>
    <t xml:space="preserve">Liechtenstein Institute on Self-Determination</t>
  </si>
  <si>
    <t xml:space="preserve">International affairs / diplomacy</t>
  </si>
  <si>
    <t xml:space="preserve">TOWN-038</t>
  </si>
  <si>
    <t xml:space="preserve">https://www.tapinto.net/towns/princeton</t>
  </si>
  <si>
    <t xml:space="preserve">www.tapinto.net</t>
  </si>
  <si>
    <t xml:space="preserve">TAPinto</t>
  </si>
  <si>
    <t xml:space="preserve">TAPinto Princeton (local news site)</t>
  </si>
  <si>
    <t xml:space="preserve">Local news + community events</t>
  </si>
  <si>
    <t xml:space="preserve">News site; events section via 'Events' tab; JS calendar; RSS available for news.</t>
  </si>
  <si>
    <t xml:space="preserve">Infinite scroll / calendar</t>
  </si>
  <si>
    <t xml:space="preserve">Not a University source; noisy. Useful for town events (library, Arts Council, etc.) but mostly duplicates those sites.</t>
  </si>
  <si>
    <t xml:space="preserve">PU-039</t>
  </si>
  <si>
    <t xml:space="preserve">https://artandarchaeology.princeton.edu/whats/events#Events-Calendar</t>
  </si>
  <si>
    <t xml:space="preserve">artandarchaeology.princeton.edu</t>
  </si>
  <si>
    <t xml:space="preserve">A&amp;A</t>
  </si>
  <si>
    <t xml:space="preserve">Department of Art &amp; Archaeology</t>
  </si>
  <si>
    <t xml:space="preserve">Art history / archaeology</t>
  </si>
  <si>
    <t xml:space="preserve">Drupal (Princeton Site Builder). List paginates with ?page=N (10-20 per page); each event usually has an 'Add to calendar' .ics link; many pull from central EMS calendar. Anchor #Events-Calendar to section on page.</t>
  </si>
  <si>
    <t xml:space="preserve">PU-040</t>
  </si>
  <si>
    <t xml:space="preserve">https://ccc.princeton.edu/events/list</t>
  </si>
  <si>
    <t xml:space="preserve">ccc.princeton.edu</t>
  </si>
  <si>
    <t xml:space="preserve">CCC</t>
  </si>
  <si>
    <t xml:space="preserve">Center for Collaborative History (?) / CCC — verify</t>
  </si>
  <si>
    <t xml:space="preserve">History / humanities</t>
  </si>
  <si>
    <t xml:space="preserve">Drupal (Princeton Site Builder). List paginates with ?page=N (10-20 per page); each event usually has an 'Add to calendar' .ics link; many pull from central EMS calendar. '/events/list' suggests a list view.</t>
  </si>
  <si>
    <t xml:space="preserve">Abbreviation ambiguous (ccc = Center for Collaborative History? Carl A. Fields? verify on first crawl).</t>
  </si>
  <si>
    <t xml:space="preserve">AFF-041</t>
  </si>
  <si>
    <t xml:space="preserve">https://www.pppl.gov/events</t>
  </si>
  <si>
    <t xml:space="preserve">www.pppl.gov</t>
  </si>
  <si>
    <t xml:space="preserve">PPPL</t>
  </si>
  <si>
    <t xml:space="preserve">Princeton Plasma Physics Laboratory (DOE lab managed by PU)</t>
  </si>
  <si>
    <t xml:space="preserve">Physics / science outreach</t>
  </si>
  <si>
    <t xml:space="preserve">Mixed (Science on Saturday is public)</t>
  </si>
  <si>
    <t xml:space="preserve">Drupal (.gov). ?page=N; Science on Saturday series in winter.</t>
  </si>
  <si>
    <t xml:space="preserve">Federal lab, not on campus; public lecture series Jan–Mar.</t>
  </si>
  <si>
    <t xml:space="preserve">TOWN-042</t>
  </si>
  <si>
    <t xml:space="preserve">https://www.labyrinthbooks.com/events/</t>
  </si>
  <si>
    <t xml:space="preserve">www.labyrinthbooks.com</t>
  </si>
  <si>
    <t xml:space="preserve">LABY</t>
  </si>
  <si>
    <t xml:space="preserve">Labyrinth Books (Nassau St bookstore)</t>
  </si>
  <si>
    <t xml:space="preserve">Author talks / literary</t>
  </si>
  <si>
    <t xml:space="preserve">Bookstore site; events list, likely WordPress/Shopify; no feed.</t>
  </si>
  <si>
    <t xml:space="preserve">Embedded JS events widget with Month / Cards / Agenda / Week views and prev/next arrows; no static HTML list</t>
  </si>
  <si>
    <t xml:space="preserve">OK (JS widget; text extraction fails, needs screenshot/JS)</t>
  </si>
  <si>
    <t xml:space="preserve">3 visible cards in first row (Sep 9, 10, 15, 2026); more via scroll/arrows</t>
  </si>
  <si>
    <t xml:space="preserve">First: Sep 9, 2026 (Vicky Osterweil / Bill Gleason) | Last: Not determined (widget)</t>
  </si>
  <si>
    <t xml:space="preserve">Cards show date, time, venue (many at Princeton Univ venues e.g. Art Museum co-hosted Humanities Colloquium). Requires headless browser or widget's underlying API. Literary fit is strong. | Strong fit for literary fiction interest; many co-hosted with PU departments and Public Library.</t>
  </si>
  <si>
    <t xml:space="preserve">PU-043</t>
  </si>
  <si>
    <t xml:space="preserve">https://jmp.princeton.edu/events</t>
  </si>
  <si>
    <t xml:space="preserve">jmp.princeton.edu</t>
  </si>
  <si>
    <t xml:space="preserve">JMP</t>
  </si>
  <si>
    <t xml:space="preserve">James Madison Program in American Ideals and Institutions</t>
  </si>
  <si>
    <t xml:space="preserve">Politics / constitutional law / political philosophy</t>
  </si>
  <si>
    <t xml:space="preserve">Unknown on list (no audience field); JMP lectures are traditionally open to the public</t>
  </si>
  <si>
    <t xml:space="preserve">Single page; filter by Lecture Series (~19 named series)</t>
  </si>
  <si>
    <t xml:space="preserve">11 upcoming on one page</t>
  </si>
  <si>
    <t xml:space="preserve">First: Sep 16, 2026 (Akhil Reed Amar, Constitution Day) | Last: Apr 15, 2027 (Philip Hamburger, Whelan Lecture)</t>
  </si>
  <si>
    <t xml:space="preserve">Full academic year posted in advance — good for planning. Constitution Day lecture duplicates Public Lectures + UCHV + central calendar. Drupal.</t>
  </si>
  <si>
    <t xml:space="preserve">PU-044</t>
  </si>
  <si>
    <t xml:space="preserve">https://citp.princeton.edu/events</t>
  </si>
  <si>
    <t xml:space="preserve">citp.princeton.edu</t>
  </si>
  <si>
    <t xml:space="preserve">CITP</t>
  </si>
  <si>
    <t xml:space="preserve">Center for Information Technology Policy</t>
  </si>
  <si>
    <t xml:space="preserve">Tech policy / AI / privacy</t>
  </si>
  <si>
    <t xml:space="preserve">Mixed — every listed Tuesday seminar is tagged 'Current Princeton faculty, staff, and students'; public events are rare and filterable</t>
  </si>
  <si>
    <t xml:space="preserve">Drupal (Princeton Site Builder). List paginates with ?page=N (10-20 per page); each event usually has an 'Add to calendar' .ics link; many pull from central EMS calendar. CITP posts .ics and has an events RSS historically.</t>
  </si>
  <si>
    <t xml:space="preserve">Single page with filters (Event Audience: Invitation Only / Princeton faculty-staff-students / Open to the public; Event Type)</t>
  </si>
  <si>
    <t xml:space="preserve">12 upcoming</t>
  </si>
  <si>
    <t xml:space="preserve">First: Sep 8, 2026 (Arvind Narayanan) | Last: Apr 13, 2027 (Andy Guess)</t>
  </si>
  <si>
    <t xml:space="preserve">Explicit audience taxonomy is ideal for filtering. Topic tags (AI/Data Science &amp; Society, Privacy &amp; Security). Drupal.</t>
  </si>
  <si>
    <t xml:space="preserve">PU-045</t>
  </si>
  <si>
    <t xml:space="preserve">https://initiative.humanities.princeton.edu/events</t>
  </si>
  <si>
    <t xml:space="preserve">initiative.humanities.princeton.edu</t>
  </si>
  <si>
    <t xml:space="preserve">HI</t>
  </si>
  <si>
    <t xml:space="preserve">Humanities Council 'Initiative' site (Humanities Initiative)</t>
  </si>
  <si>
    <t xml:space="preserve">Humanities</t>
  </si>
  <si>
    <t xml:space="preserve">Likely overlaps the Humanities Council row; verify whether it is the same feed.</t>
  </si>
  <si>
    <t xml:space="preserve">https://princetonlibrary.org/events/</t>
  </si>
  <si>
    <t xml:space="preserve">princetonlibrary.org</t>
  </si>
  <si>
    <t xml:space="preserve">WordPress front end that embeds the LibraryMarket (libnet.info) calendar in an iframe.</t>
  </si>
  <si>
    <t xml:space="preserve">Delegates to libnet.info</t>
  </si>
  <si>
    <t xml:space="preserve">Parent of PPL-013; crawl the libnet.info row instead.</t>
  </si>
  <si>
    <t xml:space="preserve">PU-047</t>
  </si>
  <si>
    <t xml:space="preserve">https://alumni.princeton.edu/events</t>
  </si>
  <si>
    <t xml:space="preserve">alumni.princeton.edu</t>
  </si>
  <si>
    <t xml:space="preserve">Alumni</t>
  </si>
  <si>
    <t xml:space="preserve">Alumni Engagement / Advancement</t>
  </si>
  <si>
    <t xml:space="preserve">Alumni events (also mirrors campus events)</t>
  </si>
  <si>
    <t xml:space="preserve">Mixed (alumni; many public campus events mirrored)</t>
  </si>
  <si>
    <t xml:space="preserve">Drupal (Princeton Site Builder). List paginates with ?page=N (10-20 per page); each event usually has an 'Add to calendar' .ics link; many pull from central EMS calendar. Filters by region/type.</t>
  </si>
  <si>
    <t xml:space="preserve">Mirrors many central-calendar events (e.g. PU Orchestra). Mostly regional alumni events — low value unless you're an alum.</t>
  </si>
  <si>
    <t xml:space="preserve">TOWN-048</t>
  </si>
  <si>
    <t xml:space="preserve">https://princetongardentheatre.org/</t>
  </si>
  <si>
    <t xml:space="preserve">princetongardentheatre.org</t>
  </si>
  <si>
    <t xml:space="preserve">PGT</t>
  </si>
  <si>
    <t xml:space="preserve">Princeton Garden Theatre (nonprofit cinema)</t>
  </si>
  <si>
    <t xml:space="preserve">Film</t>
  </si>
  <si>
    <t xml:space="preserve">Cinema site (Renew Theaters network). Showtimes list per day; JS; no feed.</t>
  </si>
  <si>
    <t xml:space="preserve">Day-by-day showtimes</t>
  </si>
  <si>
    <t xml:space="preserve">Home page; children the four Garden Theatre section rows. 4K/film interest fit.</t>
  </si>
  <si>
    <t xml:space="preserve">TOWN-049</t>
  </si>
  <si>
    <t xml:space="preserve">https://princetongardentheatre.org/coming</t>
  </si>
  <si>
    <t xml:space="preserve">Princeton Garden Theatre — Coming Soon</t>
  </si>
  <si>
    <t xml:space="preserve">Public (ticketed cinema)</t>
  </si>
  <si>
    <t xml:space="preserve">Section of the cinema site.</t>
  </si>
  <si>
    <t xml:space="preserve">Single page, alphabetical list; no pagination</t>
  </si>
  <si>
    <t xml:space="preserve">10 films listed as Coming Soon</t>
  </si>
  <si>
    <t xml:space="preserve">First: Starts Fri Sep 11, 2026 (Hope) | Last: Most titles show no date yet (only the first has a 'Starts' date)</t>
  </si>
  <si>
    <t xml:space="preserve">Coming-soon list is titles only; showtimes live on the home page day-by-day. Series tags (e.g. director retrospectives) appear as labels. Renew Theaters platform; no feed. | Child of PGT-048.</t>
  </si>
  <si>
    <t xml:space="preserve">TOWN-050</t>
  </si>
  <si>
    <t xml:space="preserve">https://princetongardentheatre.org/specials</t>
  </si>
  <si>
    <t xml:space="preserve">Princeton Garden Theatre — Special Events</t>
  </si>
  <si>
    <t xml:space="preserve">Single page</t>
  </si>
  <si>
    <t xml:space="preserve">Child of PGT-048.</t>
  </si>
  <si>
    <t xml:space="preserve">TOWN-051</t>
  </si>
  <si>
    <t xml:space="preserve">https://princetongardentheatre.org/reelrebels</t>
  </si>
  <si>
    <t xml:space="preserve">Princeton Garden Theatre — Reel Rebels series</t>
  </si>
  <si>
    <t xml:space="preserve">TOWN-052</t>
  </si>
  <si>
    <t xml:space="preserve">https://princetongardentheatre.org/global</t>
  </si>
  <si>
    <t xml:space="preserve">Princeton Garden Theatre — Global Cinema series</t>
  </si>
  <si>
    <t xml:space="preserve">PU-053</t>
  </si>
  <si>
    <t xml:space="preserve">https://cpree.princeton.edu/events</t>
  </si>
  <si>
    <t xml:space="preserve">cpree.princeton.edu</t>
  </si>
  <si>
    <t xml:space="preserve">C-PREE</t>
  </si>
  <si>
    <t xml:space="preserve">Center for Policy Research on Energy and the Environment (SPIA)</t>
  </si>
  <si>
    <t xml:space="preserve">Energy / environment policy</t>
  </si>
  <si>
    <t xml:space="preserve">PU-054</t>
  </si>
  <si>
    <t xml:space="preserve">https://environment.princeton.edu/events/</t>
  </si>
  <si>
    <t xml:space="preserve">environment.princeton.edu</t>
  </si>
  <si>
    <t xml:space="preserve">HMEI</t>
  </si>
  <si>
    <t xml:space="preserve">High Meadows Environmental Institute</t>
  </si>
  <si>
    <t xml:space="preserve">Environment / climate</t>
  </si>
  <si>
    <t xml:space="preserve">Overlaps the Climate Futures and C-PREE rows; central calendar 'Environment' category.</t>
  </si>
  <si>
    <t xml:space="preserve">TOWN-055</t>
  </si>
  <si>
    <t xml:space="preserve">https://artscouncilofprinceton.org/exhibits/</t>
  </si>
  <si>
    <t xml:space="preserve">artscouncilofprinceton.org</t>
  </si>
  <si>
    <t xml:space="preserve">ACP</t>
  </si>
  <si>
    <t xml:space="preserve">Arts Council of Princeton</t>
  </si>
  <si>
    <t xml:space="preserve">Art exhibits</t>
  </si>
  <si>
    <t xml:space="preserve">TOWN-056</t>
  </si>
  <si>
    <t xml:space="preserve">WordPress.</t>
  </si>
  <si>
    <t xml:space="preserve">Child/sibling of ACP events.</t>
  </si>
  <si>
    <t xml:space="preserve">https://artscouncilofprinceton.org/events/</t>
  </si>
  <si>
    <t xml:space="preserve">Arts / community (Porchfest, classes, talks)</t>
  </si>
  <si>
    <t xml:space="preserve">PU-057</t>
  </si>
  <si>
    <t xml:space="preserve">https://economics.princeton.edu/events/upcoming-events/</t>
  </si>
  <si>
    <t xml:space="preserve">economics.princeton.edu</t>
  </si>
  <si>
    <t xml:space="preserve">ECO</t>
  </si>
  <si>
    <t xml:space="preserve">Department of Economics</t>
  </si>
  <si>
    <t xml:space="preserve">Economics seminars</t>
  </si>
  <si>
    <t xml:space="preserve">Mostly Princeton-only (seminars)</t>
  </si>
  <si>
    <t xml:space="preserve">Mostly research seminars; few public.</t>
  </si>
  <si>
    <t xml:space="preserve">PU-058</t>
  </si>
  <si>
    <t xml:space="preserve">https://icea.spia.princeton.edu/events</t>
  </si>
  <si>
    <t xml:space="preserve">icea.spia.princeton.edu</t>
  </si>
  <si>
    <t xml:space="preserve">ICEA</t>
  </si>
  <si>
    <t xml:space="preserve">Initiative on Contemporary East Asia (SPIA)</t>
  </si>
  <si>
    <t xml:space="preserve">East Asia / international affairs</t>
  </si>
  <si>
    <t xml:space="preserve">PU-059</t>
  </si>
  <si>
    <t xml:space="preserve">https://politics.princeton.edu/events</t>
  </si>
  <si>
    <t xml:space="preserve">politics.princeton.edu</t>
  </si>
  <si>
    <t xml:space="preserve">POL</t>
  </si>
  <si>
    <t xml:space="preserve">Department of Politics</t>
  </si>
  <si>
    <t xml:space="preserve">Politics</t>
  </si>
  <si>
    <t xml:space="preserve">PU-060</t>
  </si>
  <si>
    <t xml:space="preserve">https://italianstudies.princeton.edu/events/</t>
  </si>
  <si>
    <t xml:space="preserve">italianstudies.princeton.edu</t>
  </si>
  <si>
    <t xml:space="preserve">ITA</t>
  </si>
  <si>
    <t xml:space="preserve">Program in Italian Studies</t>
  </si>
  <si>
    <t xml:space="preserve">Italian culture / film / lectures</t>
  </si>
  <si>
    <t xml:space="preserve">PU-061</t>
  </si>
  <si>
    <t xml:space="preserve">https://orfe.princeton.edu/events</t>
  </si>
  <si>
    <t xml:space="preserve">orfe.princeton.edu</t>
  </si>
  <si>
    <t xml:space="preserve">ORFE</t>
  </si>
  <si>
    <t xml:space="preserve">Operations Research &amp; Financial Engineering</t>
  </si>
  <si>
    <t xml:space="preserve">Finance / optimization / statistics</t>
  </si>
  <si>
    <t xml:space="preserve">Mostly Princeton-only</t>
  </si>
  <si>
    <t xml:space="preserve">Parent of the Wilks Seminar row.</t>
  </si>
  <si>
    <t xml:space="preserve">PU-062</t>
  </si>
  <si>
    <t xml:space="preserve">https://orfe.princeton.edu/events/wilks-seminar</t>
  </si>
  <si>
    <t xml:space="preserve">ORFE — Wilks Statistics Seminar</t>
  </si>
  <si>
    <t xml:space="preserve">Statistics</t>
  </si>
  <si>
    <t xml:space="preserve">Princeton-only mostly</t>
  </si>
  <si>
    <t xml:space="preserve">Child of PU-061.</t>
  </si>
  <si>
    <t xml:space="preserve">PU-063</t>
  </si>
  <si>
    <t xml:space="preserve">https://funggfp.princeton.edu/events</t>
  </si>
  <si>
    <t xml:space="preserve">funggfp.princeton.edu</t>
  </si>
  <si>
    <t xml:space="preserve">FGFP</t>
  </si>
  <si>
    <t xml:space="preserve">Fung Global Fellows Program (PIIRS)</t>
  </si>
  <si>
    <t xml:space="preserve">International / area studies</t>
  </si>
  <si>
    <t xml:space="preserve">PU-064</t>
  </si>
  <si>
    <t xml:space="preserve">https://gradschool.princeton.edu/3MT</t>
  </si>
  <si>
    <t xml:space="preserve">gradschool.princeton.edu</t>
  </si>
  <si>
    <t xml:space="preserve">GS</t>
  </si>
  <si>
    <t xml:space="preserve">Graduate School — Three Minute Thesis competition</t>
  </si>
  <si>
    <t xml:space="preserve">Research showcase</t>
  </si>
  <si>
    <t xml:space="preserve">Public (annual final)</t>
  </si>
  <si>
    <t xml:space="preserve">Static program page; one annual event (spring).</t>
  </si>
  <si>
    <t xml:space="preserve">Seasonal (spring)</t>
  </si>
  <si>
    <t xml:space="preserve">Not a calendar; single annual event.</t>
  </si>
  <si>
    <t xml:space="preserve">PU-065</t>
  </si>
  <si>
    <t xml:space="preserve">https://cst.princeton.edu/events/upcoming-events</t>
  </si>
  <si>
    <t xml:space="preserve">cst.princeton.edu</t>
  </si>
  <si>
    <t xml:space="preserve">CST</t>
  </si>
  <si>
    <t xml:space="preserve">Council on Science and Technology</t>
  </si>
  <si>
    <t xml:space="preserve">Science &amp; society / public programs</t>
  </si>
  <si>
    <t xml:space="preserve">Parent of the Evnin Lecture row.</t>
  </si>
  <si>
    <t xml:space="preserve">PU-066</t>
  </si>
  <si>
    <t xml:space="preserve">https://cst.princeton.edu/events/anthony-b-evnin-lecture-series</t>
  </si>
  <si>
    <t xml:space="preserve">CST — Anthony B. Evnin Lecture Series</t>
  </si>
  <si>
    <t xml:space="preserve">Science / public lecture</t>
  </si>
  <si>
    <t xml:space="preserve">Child of PU-065.</t>
  </si>
  <si>
    <t xml:space="preserve">PU-067</t>
  </si>
  <si>
    <t xml:space="preserve">https://www.cs.princeton.edu/events</t>
  </si>
  <si>
    <t xml:space="preserve">www.cs.princeton.edu</t>
  </si>
  <si>
    <t xml:space="preserve">COS</t>
  </si>
  <si>
    <t xml:space="preserve">Department of Computer Science</t>
  </si>
  <si>
    <t xml:space="preserve">Computer science talks / colloquia</t>
  </si>
  <si>
    <t xml:space="preserve">Mixed (colloquia open; many internal)</t>
  </si>
  <si>
    <t xml:space="preserve">Custom Drupal (cs.princeton.edu); events list with 'upcoming' pagination ?page=N; per-event .ics.</t>
  </si>
  <si>
    <t xml:space="preserve">PU-068</t>
  </si>
  <si>
    <t xml:space="preserve">https://csdp.princeton.edu/events</t>
  </si>
  <si>
    <t xml:space="preserve">csdp.princeton.edu</t>
  </si>
  <si>
    <t xml:space="preserve">CSDP</t>
  </si>
  <si>
    <t xml:space="preserve">Center for the Study of Democratic Politics (SPIA)</t>
  </si>
  <si>
    <t xml:space="preserve">Politics / political science</t>
  </si>
  <si>
    <t xml:space="preserve">Mixed (seminars; some public)</t>
  </si>
  <si>
    <t xml:space="preserve">PU-069</t>
  </si>
  <si>
    <t xml:space="preserve">https://frenchfilmfestival.gradlife.princeton.edu/festivalschedule</t>
  </si>
  <si>
    <t xml:space="preserve">frenchfilmfestival.gradlife.princeton.edu</t>
  </si>
  <si>
    <t xml:space="preserve">FFF</t>
  </si>
  <si>
    <t xml:space="preserve">Princeton French Film Festival (GradLife)</t>
  </si>
  <si>
    <t xml:space="preserve">Static schedule page (WordPress-ish); annual festival.</t>
  </si>
  <si>
    <t xml:space="preserve">Seasonal</t>
  </si>
  <si>
    <t xml:space="preserve">Seasonal; check each spring.</t>
  </si>
  <si>
    <t xml:space="preserve">PU-070</t>
  </si>
  <si>
    <t xml:space="preserve">https://arts.princeton.edu/events</t>
  </si>
  <si>
    <t xml:space="preserve">arts.princeton.edu</t>
  </si>
  <si>
    <t xml:space="preserve">LCA</t>
  </si>
  <si>
    <t xml:space="preserve">Lewis Center for the Arts</t>
  </si>
  <si>
    <t xml:space="preserve">Theater / dance / music / creative writing / visual arts</t>
  </si>
  <si>
    <t xml:space="preserve">Public for most (Lewis Center events are generally free/open; some ticketed); no audience field on list</t>
  </si>
  <si>
    <t xml:space="preserve">WordPress, likely 'The Events Calendar' plugin. List view paginates /events/list/?paged=N; usually exposes ?ical=1 (ICS) and ?tribe-bar-date filters; JSON at /wp-json/tribe/events/v1/events. Lewis Center has a well-structured list with filters by program.</t>
  </si>
  <si>
    <t xml:space="preserve">List view = JS 'LOAD MORE' button (3 at a time initially); Calendar view = month navigation. No numbered pages</t>
  </si>
  <si>
    <t xml:space="preserve">~40 distinct events in September alone (month calendar), plus list view with LOAD MORE</t>
  </si>
  <si>
    <t xml:space="preserve">First: Sep 8, 2026 | Last: Oct 3, 2026 visible (calendar month view); list continues via LOAD MORE</t>
  </si>
  <si>
    <t xml:space="preserve">Also aggregates arts events from other departments and student groups (PUC, Fund for Irish Studies, Seuls en Scène French theater festival, readings). High volume; long-running exhibitions repeat daily on the calendar — dedupe by title+date-range. WordPress-like. | Parent of the French Theater Festival row. High volume, high public share.</t>
  </si>
  <si>
    <t xml:space="preserve">PU-071</t>
  </si>
  <si>
    <t xml:space="preserve">https://arts.princeton.edu/french-theater-festival-2026</t>
  </si>
  <si>
    <t xml:space="preserve">Lewis Center — French Theater Festival 2026</t>
  </si>
  <si>
    <t xml:space="preserve">Theater / French</t>
  </si>
  <si>
    <t xml:space="preserve">Festival page (static).</t>
  </si>
  <si>
    <t xml:space="preserve">Seasonal / dated</t>
  </si>
  <si>
    <t xml:space="preserve">Child of PU-070; dated (2026) — will go stale.</t>
  </si>
  <si>
    <t xml:space="preserve">PU-072</t>
  </si>
  <si>
    <t xml:space="preserve">https://behavioralpolicy.princeton.edu/events</t>
  </si>
  <si>
    <t xml:space="preserve">behavioralpolicy.princeton.edu</t>
  </si>
  <si>
    <t xml:space="preserve">KCBP</t>
  </si>
  <si>
    <t xml:space="preserve">Kahneman-Treisman Center for Behavioral Science &amp; Public Policy</t>
  </si>
  <si>
    <t xml:space="preserve">Behavioral science / policy</t>
  </si>
  <si>
    <t xml:space="preserve">PU-073</t>
  </si>
  <si>
    <t xml:space="preserve">https://fit.princeton.edu/events</t>
  </si>
  <si>
    <t xml:space="preserve">fit.princeton.edu</t>
  </si>
  <si>
    <t xml:space="preserve">FIT</t>
  </si>
  <si>
    <t xml:space="preserve">Program in Finance / Bendheim Center? (fit = Fintech? verify)</t>
  </si>
  <si>
    <t xml:space="preserve">Finance / fintech</t>
  </si>
  <si>
    <t xml:space="preserve">Verify what 'fit' stands for on first crawl (possibly 'Fintech Initiative' or Financial Independence Training).</t>
  </si>
  <si>
    <t xml:space="preserve">PU-074</t>
  </si>
  <si>
    <t xml:space="preserve">https://goprincetontigers.com/calendar</t>
  </si>
  <si>
    <t xml:space="preserve">goprincetontigers.com</t>
  </si>
  <si>
    <t xml:space="preserve">PUA</t>
  </si>
  <si>
    <t xml:space="preserve">Princeton Athletics (Sidearm Sports)</t>
  </si>
  <si>
    <t xml:space="preserve">Varsity athletics</t>
  </si>
  <si>
    <t xml:space="preserve">Public (ticketed for some)</t>
  </si>
  <si>
    <t xml:space="preserve">Sidearm Sports platform. Calendar has ICS/RSS feeds per sport and a composite calendar feed (/calendar.ashx/calendar.ics and /composite?print=rss).</t>
  </si>
  <si>
    <t xml:space="preserve">Month view; JS</t>
  </si>
  <si>
    <t xml:space="preserve">Best-in-class feed availability (ICS + RSS). Central calendar also has 'Varsity Sport Event' type.</t>
  </si>
  <si>
    <t xml:space="preserve">PU-075</t>
  </si>
  <si>
    <t xml:space="preserve">https://www.princetonchapelchoir.com/events</t>
  </si>
  <si>
    <t xml:space="preserve">www.princetonchapelchoir.com</t>
  </si>
  <si>
    <t xml:space="preserve">Chapel</t>
  </si>
  <si>
    <t xml:space="preserve">Princeton University Chapel Choir</t>
  </si>
  <si>
    <t xml:space="preserve">Choral / sacred music</t>
  </si>
  <si>
    <t xml:space="preserve">Squarespace-style site; events list; ICS per event.</t>
  </si>
  <si>
    <t xml:space="preserve">PU-076</t>
  </si>
  <si>
    <t xml:space="preserve">https://press.princeton.edu/events</t>
  </si>
  <si>
    <t xml:space="preserve">press.princeton.edu</t>
  </si>
  <si>
    <t xml:space="preserve">PUP</t>
  </si>
  <si>
    <t xml:space="preserve">Princeton University Press</t>
  </si>
  <si>
    <t xml:space="preserve">Author events / books</t>
  </si>
  <si>
    <t xml:space="preserve">Public (many virtual, worldwide)</t>
  </si>
  <si>
    <t xml:space="preserve">Custom site; events list; many online. ?page=N</t>
  </si>
  <si>
    <t xml:space="preserve">Many events are not in Princeton; filter by location.</t>
  </si>
  <si>
    <t xml:space="preserve">TOWN-077</t>
  </si>
  <si>
    <t xml:space="preserve">https://www.princetonsymphony.org/calendar</t>
  </si>
  <si>
    <t xml:space="preserve">www.princetonsymphony.org</t>
  </si>
  <si>
    <t xml:space="preserve">PSO</t>
  </si>
  <si>
    <t xml:space="preserve">Princeton Symphony Orchestra</t>
  </si>
  <si>
    <t xml:space="preserve">Classical music</t>
  </si>
  <si>
    <t xml:space="preserve">Nonprofit site; calendar list; JS; no feed.</t>
  </si>
  <si>
    <t xml:space="preserve">Season list</t>
  </si>
  <si>
    <t xml:space="preserve">Performs at Richardson Auditorium (campus) but is a town organization.</t>
  </si>
  <si>
    <t xml:space="preserve">PU-078</t>
  </si>
  <si>
    <t xml:space="preserve">https://soa.princeton.edu/happenings/soa-lecture-series</t>
  </si>
  <si>
    <t xml:space="preserve">soa.princeton.edu</t>
  </si>
  <si>
    <t xml:space="preserve">SoA</t>
  </si>
  <si>
    <t xml:space="preserve">School of Architecture — Lecture Series</t>
  </si>
  <si>
    <t xml:space="preserve">Architecture / design</t>
  </si>
  <si>
    <t xml:space="preserve">Drupal (Princeton Site Builder). List paginates with ?page=N (10-20 per page); each event usually has an 'Add to calendar' .ics link; many pull from central EMS calendar. 'Happenings' section.</t>
  </si>
  <si>
    <t xml:space="preserve">One page per series</t>
  </si>
  <si>
    <t xml:space="preserve">Parent-ish for the other SoA rows (siblings under /happenings).</t>
  </si>
  <si>
    <t xml:space="preserve">PU-079</t>
  </si>
  <si>
    <t xml:space="preserve">https://soa.princeton.edu/happenings/exhibitions</t>
  </si>
  <si>
    <t xml:space="preserve">School of Architecture — Exhibitions</t>
  </si>
  <si>
    <t xml:space="preserve">Architecture / exhibitions</t>
  </si>
  <si>
    <t xml:space="preserve">Sibling section.</t>
  </si>
  <si>
    <t xml:space="preserve">PU-080</t>
  </si>
  <si>
    <t xml:space="preserve">https://soa.princeton.edu/happenings/media-modernity</t>
  </si>
  <si>
    <t xml:space="preserve">School of Architecture — Media + Modernity program</t>
  </si>
  <si>
    <t xml:space="preserve">Architecture / media theory</t>
  </si>
  <si>
    <t xml:space="preserve">PU-081</t>
  </si>
  <si>
    <t xml:space="preserve">https://soa.princeton.edu/happenings/mellon-forums</t>
  </si>
  <si>
    <t xml:space="preserve">School of Architecture — Mellon Forums</t>
  </si>
  <si>
    <t xml:space="preserve">Architecture / urbanism</t>
  </si>
  <si>
    <t xml:space="preserve">PU-082</t>
  </si>
  <si>
    <t xml:space="preserve">https://artmuseum.princeton.edu/visit/artbainbridge</t>
  </si>
  <si>
    <t xml:space="preserve">Art Museum — Art@Bainbridge (gallery on Nassau St)</t>
  </si>
  <si>
    <t xml:space="preserve">Venue page; shows current exhibition.</t>
  </si>
  <si>
    <t xml:space="preserve">Venue page, not a calendar.</t>
  </si>
  <si>
    <t xml:space="preserve">PU-083</t>
  </si>
  <si>
    <t xml:space="preserve">https://spia.princeton.edu/campus-locations/chancellor-greens-rotunda</t>
  </si>
  <si>
    <t xml:space="preserve">SPIA — Chancellor Green Rotunda (venue page)</t>
  </si>
  <si>
    <t xml:space="preserve">Venue</t>
  </si>
  <si>
    <t xml:space="preserve">n/a</t>
  </si>
  <si>
    <t xml:space="preserve">Venue/location page.</t>
  </si>
  <si>
    <t xml:space="preserve">Not an events page; drop.</t>
  </si>
  <si>
    <t xml:space="preserve">PU-084</t>
  </si>
  <si>
    <t xml:space="preserve">https://www.astro.princeton.edu/observatory/publicobserving.php</t>
  </si>
  <si>
    <t xml:space="preserve">www.astro.princeton.edu</t>
  </si>
  <si>
    <t xml:space="preserve">AST</t>
  </si>
  <si>
    <t xml:space="preserve">Department of Astrophysical Sciences — Peyton Hall public observing</t>
  </si>
  <si>
    <t xml:space="preserve">Astronomy / public observing</t>
  </si>
  <si>
    <t xml:space="preserve">Static PHP page; schedule listed as text; no feed.</t>
  </si>
  <si>
    <t xml:space="preserve">Seasonal/monthly public observing nights; scrape text.</t>
  </si>
  <si>
    <t xml:space="preserve">PU-085</t>
  </si>
  <si>
    <t xml:space="preserve">https://fis.princeton.edu/current-season/</t>
  </si>
  <si>
    <t xml:space="preserve">fis.princeton.edu</t>
  </si>
  <si>
    <t xml:space="preserve">FIS</t>
  </si>
  <si>
    <t xml:space="preserve">Fund for Irish Studies</t>
  </si>
  <si>
    <t xml:space="preserve">Irish literature / culture (lectures, readings, film)</t>
  </si>
  <si>
    <t xml:space="preserve">Public — page states 'Events are free and open to the public'</t>
  </si>
  <si>
    <t xml:space="preserve">WordPress, likely 'The Events Calendar' plugin. List view paginates /events/list/?paged=N; usually exposes ?ical=1 (ICS) and ?tribe-bar-date filters; JSON at /wp-json/tribe/events/v1/events. Season page.</t>
  </si>
  <si>
    <t xml:space="preserve">Static season page; no pagination</t>
  </si>
  <si>
    <t xml:space="preserve">5 events (2026-27 season list)</t>
  </si>
  <si>
    <t xml:space="preserve">First: Sep 18, 2026 (Luke O'Neill) | Last: Feb 12, 2027</t>
  </si>
  <si>
    <t xml:space="preserve">Whole season posted at once; events also appear on arts.princeton.edu and the central calendar. Check once per semester. | Good literary-fiction fit (readings by Irish writers).</t>
  </si>
  <si>
    <t xml:space="preserve">PU-086</t>
  </si>
  <si>
    <t xml:space="preserve">https://classics.princeton.edu/events</t>
  </si>
  <si>
    <t xml:space="preserve">classics.princeton.edu</t>
  </si>
  <si>
    <t xml:space="preserve">CLA</t>
  </si>
  <si>
    <t xml:space="preserve">Department of Classics</t>
  </si>
  <si>
    <t xml:space="preserve">Classics</t>
  </si>
  <si>
    <t xml:space="preserve">PU-087</t>
  </si>
  <si>
    <t xml:space="preserve">https://gceps.princeton.edu/upcomingandrecentevents/</t>
  </si>
  <si>
    <t xml:space="preserve">gceps.princeton.edu</t>
  </si>
  <si>
    <t xml:space="preserve">GCEPS</t>
  </si>
  <si>
    <t xml:space="preserve">Griswold Center for Economic Policy Studies</t>
  </si>
  <si>
    <t xml:space="preserve">Economics / economic policy</t>
  </si>
  <si>
    <t xml:space="preserve">Public (Griswold lectures)</t>
  </si>
  <si>
    <t xml:space="preserve">PU-088</t>
  </si>
  <si>
    <t xml:space="preserve">https://cipgs.princeton.edu/events</t>
  </si>
  <si>
    <t xml:space="preserve">cipgs.princeton.edu</t>
  </si>
  <si>
    <t xml:space="preserve">CIPGS</t>
  </si>
  <si>
    <t xml:space="preserve">Sharmin &amp; Bijan Mossavar-Rahmani Center for Iran &amp; Persian Gulf Studies</t>
  </si>
  <si>
    <t xml:space="preserve">Middle East / Iran</t>
  </si>
  <si>
    <t xml:space="preserve">PU-089</t>
  </si>
  <si>
    <t xml:space="preserve">https://slavic.princeton.edu/events/slavic-film-series</t>
  </si>
  <si>
    <t xml:space="preserve">slavic.princeton.edu</t>
  </si>
  <si>
    <t xml:space="preserve">SLA</t>
  </si>
  <si>
    <t xml:space="preserve">Slavic Languages &amp; Literatures — Film Series</t>
  </si>
  <si>
    <t xml:space="preserve">Film / Slavic</t>
  </si>
  <si>
    <t xml:space="preserve">Series sub-page on Drupal site.</t>
  </si>
  <si>
    <t xml:space="preserve">Child of slavic.princeton.edu/events (not in your list).</t>
  </si>
  <si>
    <t xml:space="preserve">PU-090</t>
  </si>
  <si>
    <t xml:space="preserve">https://sipsas.project.princeton.edu/eventsp</t>
  </si>
  <si>
    <t xml:space="preserve">sipsas.project.princeton.edu</t>
  </si>
  <si>
    <t xml:space="preserve">SIPSAS?</t>
  </si>
  <si>
    <t xml:space="preserve">'sipsas' project site — verify (possibly Princeton Society for ... / South Asian Studies)</t>
  </si>
  <si>
    <t xml:space="preserve">Unknown (verify)</t>
  </si>
  <si>
    <t xml:space="preserve">Unknown</t>
  </si>
  <si>
    <t xml:space="preserve">Drupal project site (project.princeton.edu); '/eventsp' custom path.</t>
  </si>
  <si>
    <t xml:space="preserve">Abbreviation and scope unclear; verify on first crawl.</t>
  </si>
  <si>
    <t xml:space="preserve">TOWN-091</t>
  </si>
  <si>
    <t xml:space="preserve">https://palmersquare.com/events/</t>
  </si>
  <si>
    <t xml:space="preserve">palmersquare.com</t>
  </si>
  <si>
    <t xml:space="preserve">PalmerSq</t>
  </si>
  <si>
    <t xml:space="preserve">Palmer Square (retail district, town)</t>
  </si>
  <si>
    <t xml:space="preserve">Community / retail / seasonal events</t>
  </si>
  <si>
    <t xml:space="preserve">WordPress; events list; no feed.</t>
  </si>
  <si>
    <t xml:space="preserve">?paged=N or single page</t>
  </si>
  <si>
    <t xml:space="preserve">Town commercial events (tree lighting, markets).</t>
  </si>
  <si>
    <t xml:space="preserve">PU-092</t>
  </si>
  <si>
    <t xml:space="preserve">https://spo.princeton.edu/events</t>
  </si>
  <si>
    <t xml:space="preserve">spo.princeton.edu</t>
  </si>
  <si>
    <t xml:space="preserve">SPO</t>
  </si>
  <si>
    <t xml:space="preserve">Program in Spanish &amp; Portuguese</t>
  </si>
  <si>
    <t xml:space="preserve">Hispanic / Lusophone culture, film, lectures</t>
  </si>
  <si>
    <t xml:space="preserve">PU-093</t>
  </si>
  <si>
    <t xml:space="preserve">https://judaic.princeton.edu/events</t>
  </si>
  <si>
    <t xml:space="preserve">judaic.princeton.edu</t>
  </si>
  <si>
    <t xml:space="preserve">JDS</t>
  </si>
  <si>
    <t xml:space="preserve">Program in Judaic Studies</t>
  </si>
  <si>
    <t xml:space="preserve">Judaic studies</t>
  </si>
  <si>
    <t xml:space="preserve">PU-094</t>
  </si>
  <si>
    <t xml:space="preserve">https://quantum.princeton.edu/events/quantum-colloquium</t>
  </si>
  <si>
    <t xml:space="preserve">quantum.princeton.edu</t>
  </si>
  <si>
    <t xml:space="preserve">PQI</t>
  </si>
  <si>
    <t xml:space="preserve">Princeton Quantum Initiative — Quantum Colloquium</t>
  </si>
  <si>
    <t xml:space="preserve">Quantum science</t>
  </si>
  <si>
    <t xml:space="preserve">Mixed (colloquium generally open)</t>
  </si>
  <si>
    <t xml:space="preserve">Sibling of the 'Other Seminars' row; central calendar has 'Quantum' category.</t>
  </si>
  <si>
    <t xml:space="preserve">PU-095</t>
  </si>
  <si>
    <t xml:space="preserve">https://quantum.princeton.edu/events/other-seminars</t>
  </si>
  <si>
    <t xml:space="preserve">Princeton Quantum Initiative — Other Seminars</t>
  </si>
  <si>
    <t xml:space="preserve">PU-096</t>
  </si>
  <si>
    <t xml:space="preserve">https://phy.princeton.edu/events/condensed-matter-seminar-0</t>
  </si>
  <si>
    <t xml:space="preserve">phy.princeton.edu</t>
  </si>
  <si>
    <t xml:space="preserve">PHY</t>
  </si>
  <si>
    <t xml:space="preserve">Department of Physics — Condensed Matter Seminar</t>
  </si>
  <si>
    <t xml:space="preserve">Physics</t>
  </si>
  <si>
    <t xml:space="preserve">PU-097</t>
  </si>
  <si>
    <t xml:space="preserve">Child of PU-098.</t>
  </si>
  <si>
    <t xml:space="preserve">https://phy.princeton.edu/events</t>
  </si>
  <si>
    <t xml:space="preserve">Department of Physics</t>
  </si>
  <si>
    <t xml:space="preserve">Physics (colloquia, seminars, public lectures)</t>
  </si>
  <si>
    <t xml:space="preserve">Mixed (Hamilton Lectures etc. are public)</t>
  </si>
  <si>
    <t xml:space="preserve">Parent of the Condensed Matter and home-page rows.</t>
  </si>
  <si>
    <t xml:space="preserve">PU-098</t>
  </si>
  <si>
    <t xml:space="preserve">https://phy.princeton.edu/</t>
  </si>
  <si>
    <t xml:space="preserve">Department of Physics (home page)</t>
  </si>
  <si>
    <t xml:space="preserve">Home page.</t>
  </si>
  <si>
    <t xml:space="preserve">Not a calendar; drop.</t>
  </si>
  <si>
    <t xml:space="preserve">PU-099</t>
  </si>
  <si>
    <t xml:space="preserve">https://pni.princeton.edu/events</t>
  </si>
  <si>
    <t xml:space="preserve">pni.princeton.edu</t>
  </si>
  <si>
    <t xml:space="preserve">PNI</t>
  </si>
  <si>
    <t xml:space="preserve">Princeton Neuroscience Institute</t>
  </si>
  <si>
    <t xml:space="preserve">Neuroscience</t>
  </si>
  <si>
    <t xml:space="preserve">PU-100</t>
  </si>
  <si>
    <t xml:space="preserve">https://anthropology.princeton.edu/news-events/events</t>
  </si>
  <si>
    <t xml:space="preserve">anthropology.princeton.edu</t>
  </si>
  <si>
    <t xml:space="preserve">ANT</t>
  </si>
  <si>
    <t xml:space="preserve">Department of Anthropology</t>
  </si>
  <si>
    <t xml:space="preserve">Anthropology</t>
  </si>
  <si>
    <t xml:space="preserve">PU-101</t>
  </si>
  <si>
    <t xml:space="preserve">https://earlymusic.princeton.edu/calendar/</t>
  </si>
  <si>
    <t xml:space="preserve">earlymusic.princeton.edu</t>
  </si>
  <si>
    <t xml:space="preserve">EMP</t>
  </si>
  <si>
    <t xml:space="preserve">Early Music Princeton (Dept of Music ensemble)</t>
  </si>
  <si>
    <t xml:space="preserve">Early music concerts</t>
  </si>
  <si>
    <t xml:space="preserve">Single season page</t>
  </si>
  <si>
    <t xml:space="preserve">PU-102</t>
  </si>
  <si>
    <t xml:space="preserve">https://eeb.princeton.edu/events</t>
  </si>
  <si>
    <t xml:space="preserve">eeb.princeton.edu</t>
  </si>
  <si>
    <t xml:space="preserve">EEB</t>
  </si>
  <si>
    <t xml:space="preserve">Ecology &amp; Evolutionary Biology</t>
  </si>
  <si>
    <t xml:space="preserve">Biology / ecology seminars</t>
  </si>
  <si>
    <t xml:space="preserve">PU-103</t>
  </si>
  <si>
    <t xml:space="preserve">https://molbio.princeton.edu/events</t>
  </si>
  <si>
    <t xml:space="preserve">molbio.princeton.edu</t>
  </si>
  <si>
    <t xml:space="preserve">MOL</t>
  </si>
  <si>
    <t xml:space="preserve">Molecular Biology</t>
  </si>
  <si>
    <t xml:space="preserve">Biology seminars</t>
  </si>
  <si>
    <t xml:space="preserve">PU-104</t>
  </si>
  <si>
    <t xml:space="preserve">https://cdh.princeton.edu/events/</t>
  </si>
  <si>
    <t xml:space="preserve">cdh.princeton.edu</t>
  </si>
  <si>
    <t xml:space="preserve">CDH</t>
  </si>
  <si>
    <t xml:space="preserve">Center for Digital Humanities</t>
  </si>
  <si>
    <t xml:space="preserve">Digital humanities / data / AI</t>
  </si>
  <si>
    <t xml:space="preserve">Mixed (workshops often open)</t>
  </si>
  <si>
    <t xml:space="preserve">PU-105</t>
  </si>
  <si>
    <t xml:space="preserve">https://pph.princeton.edu/events</t>
  </si>
  <si>
    <t xml:space="preserve">pph.princeton.edu</t>
  </si>
  <si>
    <t xml:space="preserve">PPH</t>
  </si>
  <si>
    <t xml:space="preserve">Program in Public Health? / Princeton Public Health — verify</t>
  </si>
  <si>
    <t xml:space="preserve">Public health</t>
  </si>
  <si>
    <t xml:space="preserve">Parent of the Symposia row.</t>
  </si>
  <si>
    <t xml:space="preserve">PU-106</t>
  </si>
  <si>
    <t xml:space="preserve">https://pph.princeton.edu/events/symposia</t>
  </si>
  <si>
    <t xml:space="preserve">Princeton Public Health — Symposia</t>
  </si>
  <si>
    <t xml:space="preserve">Child of PU-107.</t>
  </si>
  <si>
    <t xml:space="preserve">Field</t>
  </si>
  <si>
    <t xml:space="preserve">Meaning</t>
  </si>
  <si>
    <t xml:space="preserve">Unique row id: PU-### University, TOWN-### town/non-University, AFF-### affiliated-but-separate (IAS, PPPL). Number = original row order.</t>
  </si>
  <si>
    <t xml:space="preserve">Princeton University / Town of Princeton / University-affiliated (separate institutions).</t>
  </si>
  <si>
    <t xml:space="preserve">Dept_Abbr / Dept_Name</t>
  </si>
  <si>
    <t xml:space="preserve">Abbreviation as used on campus and full name. '?' = verify.</t>
  </si>
  <si>
    <t xml:space="preserve">Primary topic of events on the page.</t>
  </si>
  <si>
    <t xml:space="preserve">Public / Princeton-only / Mixed / Unknown — from page's own framing; central calendar has an explicit 'Open to the Public' filter.</t>
  </si>
  <si>
    <t xml:space="preserve">Row whose page contains this page's events (series sub-page, filtered view, venue page).</t>
  </si>
  <si>
    <t xml:space="preserve">Row that lists the same events; safe to drop this row from the crawl.</t>
  </si>
  <si>
    <t xml:space="preserve">CMS/platform and how the calendar is exposed: HTML list, ?page= pagination, JS, ICS/RSS/JSON.</t>
  </si>
  <si>
    <t xml:space="preserve">How to traverse. Drupal Site Builder: ?page=0,1,2… Wordpress Events Calendar: /events/list/?paged=N. LibCal/LibraryMarket/CampusGroups: JS — use ICS/API.</t>
  </si>
  <si>
    <t xml:space="preserve">Only 4 rows were fetched live in this pass (central calendar, ticketing, LibCal ×1, princeton.edu pagination). Everything else is inferred from the site family and needs a crawl pass.</t>
  </si>
  <si>
    <t xml:space="preserve">Events_Seen / Most_Recent_and_Last_Date</t>
  </si>
  <si>
    <t xml:space="preserve">Filled only for verified rows; to be populated by the crawler.</t>
  </si>
  <si>
    <t xml:space="preserve">Active / Seasonal / n/a (not an events page).</t>
  </si>
  <si>
    <t xml:space="preserve">Key finding</t>
  </si>
  <si>
    <t xml:space="preserve">princeton.edu/events is EMS-fed and carries ~690 upcoming events across 23 pages with an 'Open to the Public' audience filter. Most department Drupal pages are the same events. Crawl it first; use dept pages to catch what departments don't submit to EMS.</t>
  </si>
  <si>
    <t xml:space="preserve">Duplicate handling (proposed)</t>
  </si>
  <si>
    <t xml:space="preserve">Normalize title + start datetime; key on that hash; store every source URL that carries the event; prefer the central-calendar record for audience, the dept record for description.</t>
  </si>
  <si>
    <t xml:space="preserve">Metric</t>
  </si>
  <si>
    <t xml:space="preserve">Value</t>
  </si>
  <si>
    <t xml:space="preserve">Total URLs</t>
  </si>
  <si>
    <t xml:space="preserve">Town of Princeton</t>
  </si>
  <si>
    <t xml:space="preserve">Affiliated / adjacent</t>
  </si>
  <si>
    <t xml:space="preserve">Rows that are duplicates of another row</t>
  </si>
  <si>
    <t xml:space="preserve">Rows with a parent</t>
  </si>
  <si>
    <t xml:space="preserve">Verified live this pass</t>
  </si>
  <si>
    <t xml:space="preserve">Unique crawl targets (no duplicate, not venue/home page)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</si>
</sst>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75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775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7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55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42"/>
    <col collapsed="false" customWidth="true" hidden="false" outlineLevel="0" max="8" min="7" style="1" width="30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60"/>
    <col collapsed="false" customWidth="true" hidden="false" outlineLevel="0" max="12" min="12" style="1" width="36"/>
    <col collapsed="false" customWidth="true" hidden="false" outlineLevel="0" max="13" min="13" style="1" width="30"/>
    <col collapsed="false" customWidth="true" hidden="false" outlineLevel="0" max="14" min="14" style="1" width="14"/>
    <col collapsed="false" customWidth="true" hidden="false" outlineLevel="0" max="15" min="15" style="1" width="26"/>
    <col collapsed="false" customWidth="true" hidden="false" outlineLevel="0" max="16" min="16" style="1" width="32"/>
    <col collapsed="false" customWidth="true" hidden="false" outlineLevel="0" max="17" min="17" style="1" width="16"/>
    <col collapsed="false" customWidth="true" hidden="false" outlineLevel="0" max="18" min="18" style="1" width="60"/>
    <col collapsed="false" customWidth="true" hidden="false" outlineLevel="0" max="19" min="19" style="0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customFormat="false" ht="57" hidden="false" customHeight="true" outlineLevel="0" collapsed="false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/>
      <c r="J2" s="4"/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0" t="s">
        <v>35</v>
      </c>
    </row>
    <row r="3" customFormat="false" ht="34.5" hidden="false" customHeight="true" outlineLevel="0" collapsed="false">
      <c r="A3" s="4" t="s">
        <v>36</v>
      </c>
      <c r="B3" s="4" t="s">
        <v>37</v>
      </c>
      <c r="C3" s="4" t="s">
        <v>38</v>
      </c>
      <c r="D3" s="4" t="s">
        <v>22</v>
      </c>
      <c r="E3" s="4" t="s">
        <v>39</v>
      </c>
      <c r="F3" s="4" t="s">
        <v>40</v>
      </c>
      <c r="G3" s="4" t="s">
        <v>41</v>
      </c>
      <c r="H3" s="4" t="s">
        <v>42</v>
      </c>
      <c r="I3" s="4"/>
      <c r="J3" s="4"/>
      <c r="K3" s="4" t="s">
        <v>43</v>
      </c>
      <c r="L3" s="4" t="s">
        <v>44</v>
      </c>
      <c r="M3" s="4" t="s">
        <v>45</v>
      </c>
      <c r="N3" s="4" t="s">
        <v>46</v>
      </c>
      <c r="O3" s="4" t="s">
        <v>47</v>
      </c>
      <c r="P3" s="4"/>
      <c r="Q3" s="4" t="s">
        <v>16</v>
      </c>
      <c r="R3" s="4" t="s">
        <v>48</v>
      </c>
      <c r="S3" s="0" t="s">
        <v>49</v>
      </c>
    </row>
    <row r="4" customFormat="false" ht="34.5" hidden="false" customHeight="true" outlineLevel="0" collapsed="false">
      <c r="A4" s="4" t="s">
        <v>50</v>
      </c>
      <c r="B4" s="4" t="s">
        <v>51</v>
      </c>
      <c r="C4" s="4" t="s">
        <v>52</v>
      </c>
      <c r="D4" s="4" t="s">
        <v>22</v>
      </c>
      <c r="E4" s="4" t="s">
        <v>53</v>
      </c>
      <c r="F4" s="4" t="s">
        <v>54</v>
      </c>
      <c r="G4" s="4" t="s">
        <v>55</v>
      </c>
      <c r="H4" s="4" t="s">
        <v>56</v>
      </c>
      <c r="I4" s="4"/>
      <c r="J4" s="4"/>
      <c r="K4" s="4" t="s">
        <v>57</v>
      </c>
      <c r="L4" s="4" t="s">
        <v>58</v>
      </c>
      <c r="M4" s="4" t="s">
        <v>29</v>
      </c>
      <c r="N4" s="4" t="s">
        <v>59</v>
      </c>
      <c r="O4" s="4" t="s">
        <v>60</v>
      </c>
      <c r="P4" s="4" t="s">
        <v>61</v>
      </c>
      <c r="Q4" s="4" t="s">
        <v>33</v>
      </c>
      <c r="R4" s="4" t="s">
        <v>62</v>
      </c>
      <c r="S4" s="0" t="s">
        <v>49</v>
      </c>
    </row>
    <row r="5" customFormat="false" ht="34.5" hidden="false" customHeight="true" outlineLevel="0" collapsed="false">
      <c r="A5" s="4" t="s">
        <v>63</v>
      </c>
      <c r="B5" s="4" t="s">
        <v>64</v>
      </c>
      <c r="C5" s="4" t="s">
        <v>65</v>
      </c>
      <c r="D5" s="4" t="s">
        <v>22</v>
      </c>
      <c r="E5" s="4" t="s">
        <v>66</v>
      </c>
      <c r="F5" s="4" t="s">
        <v>67</v>
      </c>
      <c r="G5" s="4" t="s">
        <v>68</v>
      </c>
      <c r="H5" s="4" t="s">
        <v>69</v>
      </c>
      <c r="I5" s="4"/>
      <c r="J5" s="4"/>
      <c r="K5" s="4" t="s">
        <v>70</v>
      </c>
      <c r="L5" s="4" t="s">
        <v>71</v>
      </c>
      <c r="M5" s="4" t="s">
        <v>29</v>
      </c>
      <c r="N5" s="4" t="s">
        <v>59</v>
      </c>
      <c r="O5" s="4" t="s">
        <v>72</v>
      </c>
      <c r="P5" s="4" t="s">
        <v>73</v>
      </c>
      <c r="Q5" s="4" t="s">
        <v>33</v>
      </c>
      <c r="R5" s="4" t="s">
        <v>74</v>
      </c>
      <c r="S5" s="0" t="s">
        <v>49</v>
      </c>
    </row>
    <row r="6" customFormat="false" ht="34.5" hidden="false" customHeight="true" outlineLevel="0" collapsed="false">
      <c r="A6" s="4" t="s">
        <v>75</v>
      </c>
      <c r="B6" s="4" t="s">
        <v>76</v>
      </c>
      <c r="C6" s="4" t="s">
        <v>77</v>
      </c>
      <c r="D6" s="4" t="s">
        <v>22</v>
      </c>
      <c r="E6" s="4" t="s">
        <v>78</v>
      </c>
      <c r="F6" s="4" t="s">
        <v>79</v>
      </c>
      <c r="G6" s="4" t="s">
        <v>80</v>
      </c>
      <c r="H6" s="4" t="s">
        <v>81</v>
      </c>
      <c r="I6" s="4"/>
      <c r="J6" s="4"/>
      <c r="K6" s="4" t="s">
        <v>82</v>
      </c>
      <c r="L6" s="4" t="s">
        <v>83</v>
      </c>
      <c r="M6" s="4" t="s">
        <v>45</v>
      </c>
      <c r="N6" s="4" t="s">
        <v>84</v>
      </c>
      <c r="O6" s="4" t="s">
        <v>85</v>
      </c>
      <c r="P6" s="4"/>
      <c r="Q6" s="4" t="s">
        <v>33</v>
      </c>
      <c r="R6" s="4" t="s">
        <v>86</v>
      </c>
      <c r="S6" s="0" t="s">
        <v>49</v>
      </c>
    </row>
    <row r="7" customFormat="false" ht="45.75" hidden="false" customHeight="true" outlineLevel="0" collapsed="false">
      <c r="A7" s="4" t="s">
        <v>87</v>
      </c>
      <c r="B7" s="4" t="s">
        <v>88</v>
      </c>
      <c r="C7" s="4" t="s">
        <v>89</v>
      </c>
      <c r="D7" s="4" t="s">
        <v>22</v>
      </c>
      <c r="E7" s="4" t="s">
        <v>90</v>
      </c>
      <c r="F7" s="4" t="s">
        <v>91</v>
      </c>
      <c r="G7" s="4" t="s">
        <v>92</v>
      </c>
      <c r="H7" s="4" t="s">
        <v>93</v>
      </c>
      <c r="I7" s="4"/>
      <c r="J7" s="4"/>
      <c r="K7" s="4" t="s">
        <v>94</v>
      </c>
      <c r="L7" s="4" t="s">
        <v>95</v>
      </c>
      <c r="M7" s="4" t="s">
        <v>29</v>
      </c>
      <c r="N7" s="4" t="s">
        <v>59</v>
      </c>
      <c r="O7" s="4" t="s">
        <v>96</v>
      </c>
      <c r="P7" s="4" t="s">
        <v>97</v>
      </c>
      <c r="Q7" s="4" t="s">
        <v>33</v>
      </c>
      <c r="R7" s="4" t="s">
        <v>98</v>
      </c>
      <c r="S7" s="0" t="s">
        <v>49</v>
      </c>
    </row>
    <row r="8" customFormat="false" ht="34.5" hidden="false" customHeight="true" outlineLevel="0" collapsed="false">
      <c r="A8" s="4" t="s">
        <v>99</v>
      </c>
      <c r="B8" s="4" t="s">
        <v>100</v>
      </c>
      <c r="C8" s="4" t="s">
        <v>89</v>
      </c>
      <c r="D8" s="4" t="s">
        <v>22</v>
      </c>
      <c r="E8" s="4" t="s">
        <v>90</v>
      </c>
      <c r="F8" s="4" t="s">
        <v>91</v>
      </c>
      <c r="G8" s="4" t="s">
        <v>101</v>
      </c>
      <c r="H8" s="4" t="s">
        <v>102</v>
      </c>
      <c r="I8" s="4" t="s">
        <v>87</v>
      </c>
      <c r="J8" s="4"/>
      <c r="K8" s="4" t="s">
        <v>103</v>
      </c>
      <c r="L8" s="4" t="s">
        <v>104</v>
      </c>
      <c r="M8" s="4" t="s">
        <v>105</v>
      </c>
      <c r="N8" s="4" t="s">
        <v>106</v>
      </c>
      <c r="O8" s="4"/>
      <c r="P8" s="4"/>
      <c r="Q8" s="4" t="s">
        <v>107</v>
      </c>
      <c r="R8" s="4" t="s">
        <v>108</v>
      </c>
      <c r="S8" s="0" t="s">
        <v>49</v>
      </c>
    </row>
    <row r="9" customFormat="false" ht="34.5" hidden="false" customHeight="true" outlineLevel="0" collapsed="false">
      <c r="A9" s="4" t="s">
        <v>109</v>
      </c>
      <c r="B9" s="4" t="s">
        <v>110</v>
      </c>
      <c r="C9" s="4" t="s">
        <v>89</v>
      </c>
      <c r="D9" s="4" t="s">
        <v>22</v>
      </c>
      <c r="E9" s="4" t="s">
        <v>90</v>
      </c>
      <c r="F9" s="4" t="s">
        <v>91</v>
      </c>
      <c r="G9" s="4" t="s">
        <v>111</v>
      </c>
      <c r="H9" s="4" t="s">
        <v>102</v>
      </c>
      <c r="I9" s="4" t="s">
        <v>99</v>
      </c>
      <c r="J9" s="4" t="s">
        <v>99</v>
      </c>
      <c r="K9" s="4" t="s">
        <v>112</v>
      </c>
      <c r="L9" s="4" t="s">
        <v>113</v>
      </c>
      <c r="M9" s="4" t="s">
        <v>105</v>
      </c>
      <c r="N9" s="4" t="s">
        <v>106</v>
      </c>
      <c r="O9" s="4"/>
      <c r="P9" s="4"/>
      <c r="Q9" s="4" t="s">
        <v>107</v>
      </c>
      <c r="R9" s="4" t="s">
        <v>114</v>
      </c>
      <c r="S9" s="0" t="s">
        <v>49</v>
      </c>
    </row>
    <row r="10" customFormat="false" ht="34.5" hidden="false" customHeight="true" outlineLevel="0" collapsed="false">
      <c r="A10" s="4" t="s">
        <v>115</v>
      </c>
      <c r="B10" s="4" t="s">
        <v>116</v>
      </c>
      <c r="C10" s="4" t="s">
        <v>89</v>
      </c>
      <c r="D10" s="4" t="s">
        <v>22</v>
      </c>
      <c r="E10" s="4" t="s">
        <v>90</v>
      </c>
      <c r="F10" s="4" t="s">
        <v>91</v>
      </c>
      <c r="G10" s="4" t="s">
        <v>117</v>
      </c>
      <c r="H10" s="4" t="s">
        <v>102</v>
      </c>
      <c r="I10" s="4" t="s">
        <v>87</v>
      </c>
      <c r="J10" s="4" t="s">
        <v>87</v>
      </c>
      <c r="K10" s="4" t="s">
        <v>118</v>
      </c>
      <c r="L10" s="4" t="s">
        <v>119</v>
      </c>
      <c r="M10" s="4" t="s">
        <v>105</v>
      </c>
      <c r="N10" s="4" t="s">
        <v>106</v>
      </c>
      <c r="O10" s="4"/>
      <c r="P10" s="4"/>
      <c r="Q10" s="4" t="s">
        <v>107</v>
      </c>
      <c r="R10" s="4" t="s">
        <v>120</v>
      </c>
      <c r="S10" s="0" t="s">
        <v>49</v>
      </c>
    </row>
    <row r="11" customFormat="false" ht="34.5" hidden="false" customHeight="true" outlineLevel="0" collapsed="false">
      <c r="A11" s="4" t="s">
        <v>121</v>
      </c>
      <c r="B11" s="4" t="s">
        <v>122</v>
      </c>
      <c r="C11" s="4" t="s">
        <v>123</v>
      </c>
      <c r="D11" s="4" t="s">
        <v>22</v>
      </c>
      <c r="E11" s="4" t="s">
        <v>124</v>
      </c>
      <c r="F11" s="4" t="s">
        <v>125</v>
      </c>
      <c r="G11" s="4" t="s">
        <v>126</v>
      </c>
      <c r="H11" s="4" t="s">
        <v>127</v>
      </c>
      <c r="I11" s="4" t="s">
        <v>75</v>
      </c>
      <c r="J11" s="4"/>
      <c r="K11" s="4" t="s">
        <v>70</v>
      </c>
      <c r="L11" s="4" t="s">
        <v>128</v>
      </c>
      <c r="M11" s="4" t="s">
        <v>105</v>
      </c>
      <c r="N11" s="4" t="s">
        <v>106</v>
      </c>
      <c r="O11" s="4"/>
      <c r="P11" s="4"/>
      <c r="Q11" s="4" t="s">
        <v>107</v>
      </c>
      <c r="R11" s="4" t="s">
        <v>129</v>
      </c>
      <c r="S11" s="0" t="s">
        <v>49</v>
      </c>
    </row>
    <row r="12" customFormat="false" ht="34.5" hidden="false" customHeight="true" outlineLevel="0" collapsed="false">
      <c r="A12" s="4" t="s">
        <v>130</v>
      </c>
      <c r="B12" s="4" t="s">
        <v>131</v>
      </c>
      <c r="C12" s="4" t="s">
        <v>77</v>
      </c>
      <c r="D12" s="4" t="s">
        <v>22</v>
      </c>
      <c r="E12" s="4" t="s">
        <v>78</v>
      </c>
      <c r="F12" s="4" t="s">
        <v>132</v>
      </c>
      <c r="G12" s="4" t="s">
        <v>133</v>
      </c>
      <c r="H12" s="4" t="s">
        <v>134</v>
      </c>
      <c r="I12" s="4" t="s">
        <v>75</v>
      </c>
      <c r="J12" s="4" t="s">
        <v>75</v>
      </c>
      <c r="K12" s="4" t="s">
        <v>82</v>
      </c>
      <c r="L12" s="4" t="s">
        <v>135</v>
      </c>
      <c r="M12" s="4" t="s">
        <v>105</v>
      </c>
      <c r="N12" s="4" t="s">
        <v>106</v>
      </c>
      <c r="O12" s="4"/>
      <c r="P12" s="4"/>
      <c r="Q12" s="4" t="s">
        <v>107</v>
      </c>
      <c r="R12" s="4" t="s">
        <v>136</v>
      </c>
      <c r="S12" s="0" t="s">
        <v>137</v>
      </c>
    </row>
    <row r="13" customFormat="false" ht="34.5" hidden="false" customHeight="true" outlineLevel="0" collapsed="false">
      <c r="A13" s="4" t="s">
        <v>138</v>
      </c>
      <c r="B13" s="4" t="s">
        <v>139</v>
      </c>
      <c r="C13" s="4" t="s">
        <v>77</v>
      </c>
      <c r="D13" s="4" t="s">
        <v>22</v>
      </c>
      <c r="E13" s="4" t="s">
        <v>78</v>
      </c>
      <c r="F13" s="4" t="s">
        <v>140</v>
      </c>
      <c r="G13" s="4" t="s">
        <v>133</v>
      </c>
      <c r="H13" s="4" t="s">
        <v>141</v>
      </c>
      <c r="I13" s="4" t="s">
        <v>75</v>
      </c>
      <c r="J13" s="4" t="s">
        <v>75</v>
      </c>
      <c r="K13" s="4" t="s">
        <v>82</v>
      </c>
      <c r="L13" s="4" t="s">
        <v>142</v>
      </c>
      <c r="M13" s="4" t="s">
        <v>105</v>
      </c>
      <c r="N13" s="4" t="s">
        <v>106</v>
      </c>
      <c r="O13" s="4"/>
      <c r="P13" s="4"/>
      <c r="Q13" s="4" t="s">
        <v>107</v>
      </c>
      <c r="R13" s="4" t="s">
        <v>143</v>
      </c>
      <c r="S13" s="0" t="s">
        <v>137</v>
      </c>
    </row>
    <row r="14" customFormat="false" ht="34.5" hidden="false" customHeight="true" outlineLevel="0" collapsed="false">
      <c r="A14" s="4" t="s">
        <v>144</v>
      </c>
      <c r="B14" s="4" t="s">
        <v>145</v>
      </c>
      <c r="C14" s="4" t="s">
        <v>146</v>
      </c>
      <c r="D14" s="4" t="s">
        <v>147</v>
      </c>
      <c r="E14" s="4" t="s">
        <v>148</v>
      </c>
      <c r="F14" s="4" t="s">
        <v>149</v>
      </c>
      <c r="G14" s="4" t="s">
        <v>150</v>
      </c>
      <c r="H14" s="4" t="s">
        <v>151</v>
      </c>
      <c r="I14" s="4" t="s">
        <v>152</v>
      </c>
      <c r="J14" s="4" t="s">
        <v>152</v>
      </c>
      <c r="K14" s="4" t="s">
        <v>153</v>
      </c>
      <c r="L14" s="4" t="s">
        <v>154</v>
      </c>
      <c r="M14" s="4" t="s">
        <v>29</v>
      </c>
      <c r="N14" s="4" t="s">
        <v>59</v>
      </c>
      <c r="O14" s="4" t="s">
        <v>155</v>
      </c>
      <c r="P14" s="4" t="s">
        <v>156</v>
      </c>
      <c r="Q14" s="4" t="s">
        <v>33</v>
      </c>
      <c r="R14" s="4" t="s">
        <v>157</v>
      </c>
      <c r="S14" s="0" t="s">
        <v>158</v>
      </c>
    </row>
    <row r="15" customFormat="false" ht="34.5" hidden="false" customHeight="true" outlineLevel="0" collapsed="false">
      <c r="A15" s="4" t="s">
        <v>159</v>
      </c>
      <c r="B15" s="4" t="s">
        <v>160</v>
      </c>
      <c r="C15" s="4" t="s">
        <v>161</v>
      </c>
      <c r="D15" s="4" t="s">
        <v>22</v>
      </c>
      <c r="E15" s="4" t="s">
        <v>162</v>
      </c>
      <c r="F15" s="4" t="s">
        <v>163</v>
      </c>
      <c r="G15" s="4" t="s">
        <v>164</v>
      </c>
      <c r="H15" s="4" t="s">
        <v>165</v>
      </c>
      <c r="I15" s="4"/>
      <c r="J15" s="4"/>
      <c r="K15" s="4" t="s">
        <v>166</v>
      </c>
      <c r="L15" s="4" t="s">
        <v>167</v>
      </c>
      <c r="M15" s="4" t="s">
        <v>29</v>
      </c>
      <c r="N15" s="4" t="s">
        <v>59</v>
      </c>
      <c r="O15" s="4" t="s">
        <v>168</v>
      </c>
      <c r="P15" s="4" t="s">
        <v>169</v>
      </c>
      <c r="Q15" s="4" t="s">
        <v>33</v>
      </c>
      <c r="R15" s="4" t="s">
        <v>170</v>
      </c>
      <c r="S15" s="0" t="s">
        <v>49</v>
      </c>
    </row>
    <row r="16" customFormat="false" ht="34.5" hidden="false" customHeight="true" outlineLevel="0" collapsed="false">
      <c r="A16" s="4" t="s">
        <v>171</v>
      </c>
      <c r="B16" s="4" t="s">
        <v>172</v>
      </c>
      <c r="C16" s="4" t="s">
        <v>173</v>
      </c>
      <c r="D16" s="4" t="s">
        <v>22</v>
      </c>
      <c r="E16" s="4" t="s">
        <v>174</v>
      </c>
      <c r="F16" s="4" t="s">
        <v>175</v>
      </c>
      <c r="G16" s="4" t="s">
        <v>176</v>
      </c>
      <c r="H16" s="4" t="s">
        <v>177</v>
      </c>
      <c r="I16" s="4"/>
      <c r="J16" s="4"/>
      <c r="K16" s="4" t="s">
        <v>166</v>
      </c>
      <c r="L16" s="4" t="s">
        <v>178</v>
      </c>
      <c r="M16" s="4" t="s">
        <v>29</v>
      </c>
      <c r="N16" s="4" t="s">
        <v>59</v>
      </c>
      <c r="O16" s="4" t="s">
        <v>179</v>
      </c>
      <c r="P16" s="4" t="s">
        <v>180</v>
      </c>
      <c r="Q16" s="4" t="s">
        <v>33</v>
      </c>
      <c r="R16" s="4" t="s">
        <v>181</v>
      </c>
      <c r="S16" s="0" t="s">
        <v>49</v>
      </c>
    </row>
    <row r="17" customFormat="false" ht="34.5" hidden="false" customHeight="true" outlineLevel="0" collapsed="false">
      <c r="A17" s="4" t="s">
        <v>182</v>
      </c>
      <c r="B17" s="4" t="s">
        <v>183</v>
      </c>
      <c r="C17" s="4" t="s">
        <v>184</v>
      </c>
      <c r="D17" s="4" t="s">
        <v>22</v>
      </c>
      <c r="E17" s="4" t="s">
        <v>185</v>
      </c>
      <c r="F17" s="4" t="s">
        <v>186</v>
      </c>
      <c r="G17" s="4" t="s">
        <v>187</v>
      </c>
      <c r="H17" s="4" t="s">
        <v>188</v>
      </c>
      <c r="I17" s="4"/>
      <c r="J17" s="4"/>
      <c r="K17" s="4" t="s">
        <v>70</v>
      </c>
      <c r="L17" s="4" t="s">
        <v>189</v>
      </c>
      <c r="M17" s="4" t="s">
        <v>29</v>
      </c>
      <c r="N17" s="4" t="s">
        <v>190</v>
      </c>
      <c r="O17" s="4" t="s">
        <v>191</v>
      </c>
      <c r="P17" s="4" t="s">
        <v>192</v>
      </c>
      <c r="Q17" s="4" t="s">
        <v>33</v>
      </c>
      <c r="R17" s="4" t="s">
        <v>193</v>
      </c>
      <c r="S17" s="0" t="s">
        <v>49</v>
      </c>
    </row>
    <row r="18" customFormat="false" ht="34.5" hidden="false" customHeight="true" outlineLevel="0" collapsed="false">
      <c r="A18" s="4" t="s">
        <v>194</v>
      </c>
      <c r="B18" s="4" t="s">
        <v>195</v>
      </c>
      <c r="C18" s="4" t="s">
        <v>196</v>
      </c>
      <c r="D18" s="4" t="s">
        <v>22</v>
      </c>
      <c r="E18" s="4" t="s">
        <v>197</v>
      </c>
      <c r="F18" s="4" t="s">
        <v>198</v>
      </c>
      <c r="G18" s="4" t="s">
        <v>199</v>
      </c>
      <c r="H18" s="4" t="s">
        <v>200</v>
      </c>
      <c r="I18" s="4"/>
      <c r="J18" s="4"/>
      <c r="K18" s="4" t="s">
        <v>70</v>
      </c>
      <c r="L18" s="4" t="s">
        <v>201</v>
      </c>
      <c r="M18" s="4" t="s">
        <v>29</v>
      </c>
      <c r="N18" s="4" t="s">
        <v>59</v>
      </c>
      <c r="O18" s="4" t="s">
        <v>202</v>
      </c>
      <c r="P18" s="4" t="s">
        <v>203</v>
      </c>
      <c r="Q18" s="4" t="s">
        <v>33</v>
      </c>
      <c r="R18" s="4" t="s">
        <v>204</v>
      </c>
      <c r="S18" s="0" t="s">
        <v>49</v>
      </c>
    </row>
    <row r="19" customFormat="false" ht="34.5" hidden="false" customHeight="true" outlineLevel="0" collapsed="false">
      <c r="A19" s="4" t="s">
        <v>205</v>
      </c>
      <c r="B19" s="4" t="s">
        <v>206</v>
      </c>
      <c r="C19" s="4" t="s">
        <v>207</v>
      </c>
      <c r="D19" s="4" t="s">
        <v>22</v>
      </c>
      <c r="E19" s="4" t="s">
        <v>208</v>
      </c>
      <c r="F19" s="4" t="s">
        <v>209</v>
      </c>
      <c r="G19" s="4" t="s">
        <v>210</v>
      </c>
      <c r="H19" s="4" t="s">
        <v>211</v>
      </c>
      <c r="I19" s="4"/>
      <c r="J19" s="4"/>
      <c r="K19" s="4" t="s">
        <v>70</v>
      </c>
      <c r="L19" s="4" t="s">
        <v>212</v>
      </c>
      <c r="M19" s="4" t="s">
        <v>29</v>
      </c>
      <c r="N19" s="4" t="s">
        <v>59</v>
      </c>
      <c r="O19" s="4" t="s">
        <v>213</v>
      </c>
      <c r="P19" s="4" t="s">
        <v>214</v>
      </c>
      <c r="Q19" s="4" t="s">
        <v>33</v>
      </c>
      <c r="R19" s="4" t="s">
        <v>215</v>
      </c>
      <c r="S19" s="0" t="s">
        <v>49</v>
      </c>
    </row>
    <row r="20" customFormat="false" ht="34.5" hidden="false" customHeight="true" outlineLevel="0" collapsed="false">
      <c r="A20" s="4" t="s">
        <v>216</v>
      </c>
      <c r="B20" s="4" t="s">
        <v>217</v>
      </c>
      <c r="C20" s="4" t="s">
        <v>218</v>
      </c>
      <c r="D20" s="4" t="s">
        <v>22</v>
      </c>
      <c r="E20" s="4" t="s">
        <v>219</v>
      </c>
      <c r="F20" s="4" t="s">
        <v>220</v>
      </c>
      <c r="G20" s="4" t="s">
        <v>221</v>
      </c>
      <c r="H20" s="4" t="s">
        <v>134</v>
      </c>
      <c r="I20" s="4" t="s">
        <v>171</v>
      </c>
      <c r="J20" s="4"/>
      <c r="K20" s="4" t="s">
        <v>166</v>
      </c>
      <c r="L20" s="4" t="s">
        <v>222</v>
      </c>
      <c r="M20" s="4" t="s">
        <v>105</v>
      </c>
      <c r="N20" s="4" t="s">
        <v>106</v>
      </c>
      <c r="O20" s="4"/>
      <c r="P20" s="4"/>
      <c r="Q20" s="4" t="s">
        <v>107</v>
      </c>
      <c r="R20" s="4"/>
      <c r="S20" s="0" t="s">
        <v>49</v>
      </c>
    </row>
    <row r="21" customFormat="false" ht="34.5" hidden="false" customHeight="true" outlineLevel="0" collapsed="false">
      <c r="A21" s="4" t="s">
        <v>223</v>
      </c>
      <c r="B21" s="4" t="s">
        <v>224</v>
      </c>
      <c r="C21" s="4" t="s">
        <v>225</v>
      </c>
      <c r="D21" s="4" t="s">
        <v>22</v>
      </c>
      <c r="E21" s="4" t="s">
        <v>226</v>
      </c>
      <c r="F21" s="4" t="s">
        <v>227</v>
      </c>
      <c r="G21" s="4" t="s">
        <v>228</v>
      </c>
      <c r="H21" s="4" t="s">
        <v>229</v>
      </c>
      <c r="I21" s="4"/>
      <c r="J21" s="4"/>
      <c r="K21" s="4" t="s">
        <v>70</v>
      </c>
      <c r="L21" s="4" t="s">
        <v>230</v>
      </c>
      <c r="M21" s="4" t="s">
        <v>29</v>
      </c>
      <c r="N21" s="4" t="s">
        <v>59</v>
      </c>
      <c r="O21" s="4" t="s">
        <v>231</v>
      </c>
      <c r="P21" s="4" t="s">
        <v>232</v>
      </c>
      <c r="Q21" s="4" t="s">
        <v>33</v>
      </c>
      <c r="R21" s="4" t="s">
        <v>233</v>
      </c>
      <c r="S21" s="0" t="s">
        <v>49</v>
      </c>
    </row>
    <row r="22" customFormat="false" ht="34.5" hidden="false" customHeight="true" outlineLevel="0" collapsed="false">
      <c r="A22" s="4" t="s">
        <v>234</v>
      </c>
      <c r="B22" s="4" t="s">
        <v>235</v>
      </c>
      <c r="C22" s="4" t="s">
        <v>225</v>
      </c>
      <c r="D22" s="4" t="s">
        <v>22</v>
      </c>
      <c r="E22" s="4" t="s">
        <v>226</v>
      </c>
      <c r="F22" s="4" t="s">
        <v>236</v>
      </c>
      <c r="G22" s="4" t="s">
        <v>237</v>
      </c>
      <c r="H22" s="4" t="s">
        <v>102</v>
      </c>
      <c r="I22" s="4" t="s">
        <v>223</v>
      </c>
      <c r="J22" s="4" t="s">
        <v>223</v>
      </c>
      <c r="K22" s="4" t="s">
        <v>238</v>
      </c>
      <c r="L22" s="4" t="s">
        <v>239</v>
      </c>
      <c r="M22" s="4" t="s">
        <v>105</v>
      </c>
      <c r="N22" s="4" t="s">
        <v>106</v>
      </c>
      <c r="O22" s="4"/>
      <c r="P22" s="4"/>
      <c r="Q22" s="4" t="s">
        <v>107</v>
      </c>
      <c r="R22" s="4" t="s">
        <v>240</v>
      </c>
      <c r="S22" s="0" t="s">
        <v>49</v>
      </c>
    </row>
    <row r="23" customFormat="false" ht="34.5" hidden="false" customHeight="true" outlineLevel="0" collapsed="false">
      <c r="A23" s="4" t="s">
        <v>241</v>
      </c>
      <c r="B23" s="4" t="s">
        <v>242</v>
      </c>
      <c r="C23" s="4" t="s">
        <v>225</v>
      </c>
      <c r="D23" s="4" t="s">
        <v>22</v>
      </c>
      <c r="E23" s="4" t="s">
        <v>226</v>
      </c>
      <c r="F23" s="4" t="s">
        <v>243</v>
      </c>
      <c r="G23" s="4" t="s">
        <v>237</v>
      </c>
      <c r="H23" s="4" t="s">
        <v>102</v>
      </c>
      <c r="I23" s="4" t="s">
        <v>223</v>
      </c>
      <c r="J23" s="4" t="s">
        <v>223</v>
      </c>
      <c r="K23" s="4" t="s">
        <v>238</v>
      </c>
      <c r="L23" s="4" t="s">
        <v>239</v>
      </c>
      <c r="M23" s="4" t="s">
        <v>105</v>
      </c>
      <c r="N23" s="4" t="s">
        <v>106</v>
      </c>
      <c r="O23" s="4"/>
      <c r="P23" s="4"/>
      <c r="Q23" s="4" t="s">
        <v>107</v>
      </c>
      <c r="R23" s="4" t="s">
        <v>240</v>
      </c>
      <c r="S23" s="0" t="s">
        <v>49</v>
      </c>
    </row>
    <row r="24" customFormat="false" ht="34.5" hidden="false" customHeight="true" outlineLevel="0" collapsed="false">
      <c r="A24" s="4" t="s">
        <v>244</v>
      </c>
      <c r="B24" s="4" t="s">
        <v>245</v>
      </c>
      <c r="C24" s="4" t="s">
        <v>225</v>
      </c>
      <c r="D24" s="4" t="s">
        <v>22</v>
      </c>
      <c r="E24" s="4" t="s">
        <v>226</v>
      </c>
      <c r="F24" s="4" t="s">
        <v>246</v>
      </c>
      <c r="G24" s="4" t="s">
        <v>237</v>
      </c>
      <c r="H24" s="4" t="s">
        <v>247</v>
      </c>
      <c r="I24" s="4" t="s">
        <v>223</v>
      </c>
      <c r="J24" s="4" t="s">
        <v>223</v>
      </c>
      <c r="K24" s="4" t="s">
        <v>238</v>
      </c>
      <c r="L24" s="4" t="s">
        <v>239</v>
      </c>
      <c r="M24" s="4" t="s">
        <v>105</v>
      </c>
      <c r="N24" s="4" t="s">
        <v>106</v>
      </c>
      <c r="O24" s="4"/>
      <c r="P24" s="4"/>
      <c r="Q24" s="4" t="s">
        <v>107</v>
      </c>
      <c r="R24" s="4" t="s">
        <v>240</v>
      </c>
      <c r="S24" s="0" t="s">
        <v>49</v>
      </c>
    </row>
    <row r="25" customFormat="false" ht="34.5" hidden="false" customHeight="true" outlineLevel="0" collapsed="false">
      <c r="A25" s="4" t="s">
        <v>248</v>
      </c>
      <c r="B25" s="4" t="s">
        <v>249</v>
      </c>
      <c r="C25" s="4" t="s">
        <v>225</v>
      </c>
      <c r="D25" s="4" t="s">
        <v>22</v>
      </c>
      <c r="E25" s="4" t="s">
        <v>226</v>
      </c>
      <c r="F25" s="4" t="s">
        <v>250</v>
      </c>
      <c r="G25" s="4" t="s">
        <v>251</v>
      </c>
      <c r="H25" s="4" t="s">
        <v>102</v>
      </c>
      <c r="I25" s="4" t="s">
        <v>223</v>
      </c>
      <c r="J25" s="4" t="s">
        <v>223</v>
      </c>
      <c r="K25" s="4" t="s">
        <v>238</v>
      </c>
      <c r="L25" s="4" t="s">
        <v>239</v>
      </c>
      <c r="M25" s="4" t="s">
        <v>105</v>
      </c>
      <c r="N25" s="4" t="s">
        <v>106</v>
      </c>
      <c r="O25" s="4"/>
      <c r="P25" s="4"/>
      <c r="Q25" s="4" t="s">
        <v>107</v>
      </c>
      <c r="R25" s="4" t="s">
        <v>240</v>
      </c>
      <c r="S25" s="0" t="s">
        <v>49</v>
      </c>
    </row>
    <row r="26" customFormat="false" ht="34.5" hidden="false" customHeight="true" outlineLevel="0" collapsed="false">
      <c r="A26" s="4" t="s">
        <v>252</v>
      </c>
      <c r="B26" s="4" t="s">
        <v>253</v>
      </c>
      <c r="C26" s="4" t="s">
        <v>225</v>
      </c>
      <c r="D26" s="4" t="s">
        <v>22</v>
      </c>
      <c r="E26" s="4" t="s">
        <v>226</v>
      </c>
      <c r="F26" s="4" t="s">
        <v>254</v>
      </c>
      <c r="G26" s="4" t="s">
        <v>237</v>
      </c>
      <c r="H26" s="4" t="s">
        <v>247</v>
      </c>
      <c r="I26" s="4" t="s">
        <v>223</v>
      </c>
      <c r="J26" s="4" t="s">
        <v>223</v>
      </c>
      <c r="K26" s="4" t="s">
        <v>238</v>
      </c>
      <c r="L26" s="4" t="s">
        <v>239</v>
      </c>
      <c r="M26" s="4" t="s">
        <v>105</v>
      </c>
      <c r="N26" s="4" t="s">
        <v>106</v>
      </c>
      <c r="O26" s="4"/>
      <c r="P26" s="4"/>
      <c r="Q26" s="4" t="s">
        <v>107</v>
      </c>
      <c r="R26" s="4" t="s">
        <v>240</v>
      </c>
      <c r="S26" s="0" t="s">
        <v>49</v>
      </c>
    </row>
    <row r="27" customFormat="false" ht="34.5" hidden="false" customHeight="true" outlineLevel="0" collapsed="false">
      <c r="A27" s="4" t="s">
        <v>255</v>
      </c>
      <c r="B27" s="4" t="s">
        <v>256</v>
      </c>
      <c r="C27" s="4" t="s">
        <v>225</v>
      </c>
      <c r="D27" s="4" t="s">
        <v>22</v>
      </c>
      <c r="E27" s="4" t="s">
        <v>226</v>
      </c>
      <c r="F27" s="4" t="s">
        <v>257</v>
      </c>
      <c r="G27" s="4" t="s">
        <v>237</v>
      </c>
      <c r="H27" s="4" t="s">
        <v>247</v>
      </c>
      <c r="I27" s="4" t="s">
        <v>223</v>
      </c>
      <c r="J27" s="4" t="s">
        <v>223</v>
      </c>
      <c r="K27" s="4" t="s">
        <v>238</v>
      </c>
      <c r="L27" s="4" t="s">
        <v>239</v>
      </c>
      <c r="M27" s="4" t="s">
        <v>105</v>
      </c>
      <c r="N27" s="4" t="s">
        <v>106</v>
      </c>
      <c r="O27" s="4"/>
      <c r="P27" s="4"/>
      <c r="Q27" s="4" t="s">
        <v>107</v>
      </c>
      <c r="R27" s="4" t="s">
        <v>240</v>
      </c>
      <c r="S27" s="0" t="s">
        <v>49</v>
      </c>
    </row>
    <row r="28" customFormat="false" ht="34.5" hidden="false" customHeight="true" outlineLevel="0" collapsed="false">
      <c r="A28" s="4" t="s">
        <v>258</v>
      </c>
      <c r="B28" s="4" t="s">
        <v>259</v>
      </c>
      <c r="C28" s="4" t="s">
        <v>225</v>
      </c>
      <c r="D28" s="4" t="s">
        <v>22</v>
      </c>
      <c r="E28" s="4" t="s">
        <v>226</v>
      </c>
      <c r="F28" s="4" t="s">
        <v>260</v>
      </c>
      <c r="G28" s="4" t="s">
        <v>237</v>
      </c>
      <c r="H28" s="4" t="s">
        <v>247</v>
      </c>
      <c r="I28" s="4" t="s">
        <v>223</v>
      </c>
      <c r="J28" s="4" t="s">
        <v>223</v>
      </c>
      <c r="K28" s="4" t="s">
        <v>238</v>
      </c>
      <c r="L28" s="4" t="s">
        <v>239</v>
      </c>
      <c r="M28" s="4" t="s">
        <v>105</v>
      </c>
      <c r="N28" s="4" t="s">
        <v>106</v>
      </c>
      <c r="O28" s="4"/>
      <c r="P28" s="4"/>
      <c r="Q28" s="4" t="s">
        <v>107</v>
      </c>
      <c r="R28" s="4" t="s">
        <v>240</v>
      </c>
      <c r="S28" s="0" t="s">
        <v>49</v>
      </c>
    </row>
    <row r="29" customFormat="false" ht="34.5" hidden="false" customHeight="true" outlineLevel="0" collapsed="false">
      <c r="A29" s="4" t="s">
        <v>261</v>
      </c>
      <c r="B29" s="4" t="s">
        <v>262</v>
      </c>
      <c r="C29" s="4" t="s">
        <v>263</v>
      </c>
      <c r="D29" s="4" t="s">
        <v>22</v>
      </c>
      <c r="E29" s="4" t="s">
        <v>264</v>
      </c>
      <c r="F29" s="4" t="s">
        <v>265</v>
      </c>
      <c r="G29" s="4" t="s">
        <v>266</v>
      </c>
      <c r="H29" s="4" t="s">
        <v>134</v>
      </c>
      <c r="I29" s="4"/>
      <c r="J29" s="4"/>
      <c r="K29" s="4" t="s">
        <v>166</v>
      </c>
      <c r="L29" s="4" t="s">
        <v>222</v>
      </c>
      <c r="M29" s="4" t="s">
        <v>105</v>
      </c>
      <c r="N29" s="4" t="s">
        <v>106</v>
      </c>
      <c r="O29" s="4"/>
      <c r="P29" s="4"/>
      <c r="Q29" s="4" t="s">
        <v>107</v>
      </c>
      <c r="R29" s="4" t="s">
        <v>267</v>
      </c>
      <c r="S29" s="0" t="s">
        <v>49</v>
      </c>
    </row>
    <row r="30" customFormat="false" ht="34.5" hidden="false" customHeight="true" outlineLevel="0" collapsed="false">
      <c r="A30" s="4" t="s">
        <v>268</v>
      </c>
      <c r="B30" s="4" t="s">
        <v>269</v>
      </c>
      <c r="C30" s="4" t="s">
        <v>270</v>
      </c>
      <c r="D30" s="4" t="s">
        <v>271</v>
      </c>
      <c r="E30" s="4" t="s">
        <v>272</v>
      </c>
      <c r="F30" s="4" t="s">
        <v>273</v>
      </c>
      <c r="G30" s="4" t="s">
        <v>274</v>
      </c>
      <c r="H30" s="4" t="s">
        <v>275</v>
      </c>
      <c r="I30" s="4"/>
      <c r="J30" s="4"/>
      <c r="K30" s="4" t="s">
        <v>276</v>
      </c>
      <c r="L30" s="4" t="s">
        <v>277</v>
      </c>
      <c r="M30" s="4" t="s">
        <v>29</v>
      </c>
      <c r="N30" s="4" t="s">
        <v>59</v>
      </c>
      <c r="O30" s="4" t="s">
        <v>278</v>
      </c>
      <c r="P30" s="4" t="s">
        <v>279</v>
      </c>
      <c r="Q30" s="4" t="s">
        <v>33</v>
      </c>
      <c r="R30" s="4" t="s">
        <v>280</v>
      </c>
      <c r="S30" s="0" t="s">
        <v>281</v>
      </c>
    </row>
    <row r="31" customFormat="false" ht="34.5" hidden="false" customHeight="true" outlineLevel="0" collapsed="false">
      <c r="A31" s="4" t="s">
        <v>282</v>
      </c>
      <c r="B31" s="4" t="s">
        <v>283</v>
      </c>
      <c r="C31" s="4" t="s">
        <v>284</v>
      </c>
      <c r="D31" s="4" t="s">
        <v>22</v>
      </c>
      <c r="E31" s="4" t="s">
        <v>285</v>
      </c>
      <c r="F31" s="4" t="s">
        <v>286</v>
      </c>
      <c r="G31" s="4" t="s">
        <v>287</v>
      </c>
      <c r="H31" s="4" t="s">
        <v>288</v>
      </c>
      <c r="I31" s="4"/>
      <c r="J31" s="4"/>
      <c r="K31" s="4" t="s">
        <v>70</v>
      </c>
      <c r="L31" s="4" t="s">
        <v>289</v>
      </c>
      <c r="M31" s="4" t="s">
        <v>29</v>
      </c>
      <c r="N31" s="4" t="s">
        <v>59</v>
      </c>
      <c r="O31" s="4" t="s">
        <v>290</v>
      </c>
      <c r="P31" s="4" t="s">
        <v>291</v>
      </c>
      <c r="Q31" s="4" t="s">
        <v>33</v>
      </c>
      <c r="R31" s="4" t="s">
        <v>292</v>
      </c>
      <c r="S31" s="0" t="s">
        <v>49</v>
      </c>
    </row>
    <row r="32" customFormat="false" ht="34.5" hidden="false" customHeight="true" outlineLevel="0" collapsed="false">
      <c r="A32" s="4" t="s">
        <v>293</v>
      </c>
      <c r="B32" s="4" t="s">
        <v>294</v>
      </c>
      <c r="C32" s="4" t="s">
        <v>295</v>
      </c>
      <c r="D32" s="4" t="s">
        <v>22</v>
      </c>
      <c r="E32" s="4" t="s">
        <v>296</v>
      </c>
      <c r="F32" s="4" t="s">
        <v>297</v>
      </c>
      <c r="G32" s="4" t="s">
        <v>298</v>
      </c>
      <c r="H32" s="4" t="s">
        <v>299</v>
      </c>
      <c r="I32" s="4"/>
      <c r="J32" s="4"/>
      <c r="K32" s="4" t="s">
        <v>70</v>
      </c>
      <c r="L32" s="4" t="s">
        <v>300</v>
      </c>
      <c r="M32" s="4" t="s">
        <v>29</v>
      </c>
      <c r="N32" s="4" t="s">
        <v>59</v>
      </c>
      <c r="O32" s="4" t="s">
        <v>301</v>
      </c>
      <c r="P32" s="4" t="s">
        <v>302</v>
      </c>
      <c r="Q32" s="4" t="s">
        <v>33</v>
      </c>
      <c r="R32" s="4" t="s">
        <v>303</v>
      </c>
      <c r="S32" s="0" t="s">
        <v>49</v>
      </c>
    </row>
    <row r="33" customFormat="false" ht="34.5" hidden="false" customHeight="true" outlineLevel="0" collapsed="false">
      <c r="A33" s="4" t="s">
        <v>304</v>
      </c>
      <c r="B33" s="4" t="s">
        <v>305</v>
      </c>
      <c r="C33" s="4" t="s">
        <v>306</v>
      </c>
      <c r="D33" s="4" t="s">
        <v>22</v>
      </c>
      <c r="E33" s="4" t="s">
        <v>307</v>
      </c>
      <c r="F33" s="4" t="s">
        <v>308</v>
      </c>
      <c r="G33" s="4" t="s">
        <v>309</v>
      </c>
      <c r="H33" s="4" t="s">
        <v>310</v>
      </c>
      <c r="I33" s="4"/>
      <c r="J33" s="4"/>
      <c r="K33" s="4" t="s">
        <v>311</v>
      </c>
      <c r="L33" s="4" t="s">
        <v>312</v>
      </c>
      <c r="M33" s="4" t="s">
        <v>29</v>
      </c>
      <c r="N33" s="4" t="s">
        <v>59</v>
      </c>
      <c r="O33" s="4" t="s">
        <v>313</v>
      </c>
      <c r="P33" s="4" t="s">
        <v>314</v>
      </c>
      <c r="Q33" s="4" t="s">
        <v>33</v>
      </c>
      <c r="R33" s="4" t="s">
        <v>315</v>
      </c>
      <c r="S33" s="0" t="s">
        <v>49</v>
      </c>
    </row>
    <row r="34" customFormat="false" ht="34.5" hidden="false" customHeight="true" outlineLevel="0" collapsed="false">
      <c r="A34" s="4" t="s">
        <v>316</v>
      </c>
      <c r="B34" s="4" t="s">
        <v>317</v>
      </c>
      <c r="C34" s="4" t="s">
        <v>306</v>
      </c>
      <c r="D34" s="4" t="s">
        <v>22</v>
      </c>
      <c r="E34" s="4" t="s">
        <v>307</v>
      </c>
      <c r="F34" s="4" t="s">
        <v>318</v>
      </c>
      <c r="G34" s="4" t="s">
        <v>319</v>
      </c>
      <c r="H34" s="4" t="s">
        <v>102</v>
      </c>
      <c r="I34" s="4" t="s">
        <v>304</v>
      </c>
      <c r="J34" s="4" t="s">
        <v>304</v>
      </c>
      <c r="K34" s="4" t="s">
        <v>320</v>
      </c>
      <c r="L34" s="4" t="s">
        <v>321</v>
      </c>
      <c r="M34" s="4" t="s">
        <v>105</v>
      </c>
      <c r="N34" s="4" t="s">
        <v>106</v>
      </c>
      <c r="O34" s="4"/>
      <c r="P34" s="4"/>
      <c r="Q34" s="4" t="s">
        <v>107</v>
      </c>
      <c r="R34" s="4" t="s">
        <v>322</v>
      </c>
      <c r="S34" s="0" t="s">
        <v>49</v>
      </c>
    </row>
    <row r="35" customFormat="false" ht="34.5" hidden="false" customHeight="true" outlineLevel="0" collapsed="false">
      <c r="A35" s="4" t="s">
        <v>323</v>
      </c>
      <c r="B35" s="4" t="s">
        <v>324</v>
      </c>
      <c r="C35" s="4" t="s">
        <v>306</v>
      </c>
      <c r="D35" s="4" t="s">
        <v>22</v>
      </c>
      <c r="E35" s="4" t="s">
        <v>325</v>
      </c>
      <c r="F35" s="4" t="s">
        <v>326</v>
      </c>
      <c r="G35" s="4" t="s">
        <v>327</v>
      </c>
      <c r="H35" s="4" t="s">
        <v>134</v>
      </c>
      <c r="I35" s="4" t="s">
        <v>304</v>
      </c>
      <c r="J35" s="4"/>
      <c r="K35" s="4" t="s">
        <v>328</v>
      </c>
      <c r="L35" s="4" t="s">
        <v>119</v>
      </c>
      <c r="M35" s="4" t="s">
        <v>105</v>
      </c>
      <c r="N35" s="4" t="s">
        <v>106</v>
      </c>
      <c r="O35" s="4"/>
      <c r="P35" s="4"/>
      <c r="Q35" s="4" t="s">
        <v>107</v>
      </c>
      <c r="R35" s="4" t="s">
        <v>329</v>
      </c>
      <c r="S35" s="0" t="s">
        <v>49</v>
      </c>
    </row>
    <row r="36" customFormat="false" ht="34.5" hidden="false" customHeight="true" outlineLevel="0" collapsed="false">
      <c r="A36" s="4" t="s">
        <v>330</v>
      </c>
      <c r="B36" s="4" t="s">
        <v>331</v>
      </c>
      <c r="C36" s="4" t="s">
        <v>332</v>
      </c>
      <c r="D36" s="4" t="s">
        <v>22</v>
      </c>
      <c r="E36" s="4" t="s">
        <v>333</v>
      </c>
      <c r="F36" s="4" t="s">
        <v>334</v>
      </c>
      <c r="G36" s="4" t="s">
        <v>335</v>
      </c>
      <c r="H36" s="4" t="s">
        <v>42</v>
      </c>
      <c r="I36" s="4"/>
      <c r="J36" s="4"/>
      <c r="K36" s="4" t="s">
        <v>336</v>
      </c>
      <c r="L36" s="4" t="s">
        <v>337</v>
      </c>
      <c r="M36" s="4" t="s">
        <v>105</v>
      </c>
      <c r="N36" s="4" t="s">
        <v>106</v>
      </c>
      <c r="O36" s="4"/>
      <c r="P36" s="4"/>
      <c r="Q36" s="4" t="s">
        <v>107</v>
      </c>
      <c r="R36" s="4" t="s">
        <v>338</v>
      </c>
      <c r="S36" s="0" t="s">
        <v>49</v>
      </c>
    </row>
    <row r="37" customFormat="false" ht="34.5" hidden="false" customHeight="true" outlineLevel="0" collapsed="false">
      <c r="A37" s="4" t="s">
        <v>339</v>
      </c>
      <c r="B37" s="4" t="s">
        <v>340</v>
      </c>
      <c r="C37" s="4" t="s">
        <v>341</v>
      </c>
      <c r="D37" s="4" t="s">
        <v>22</v>
      </c>
      <c r="E37" s="4" t="s">
        <v>342</v>
      </c>
      <c r="F37" s="4" t="s">
        <v>343</v>
      </c>
      <c r="G37" s="4" t="s">
        <v>344</v>
      </c>
      <c r="H37" s="4" t="s">
        <v>345</v>
      </c>
      <c r="I37" s="4"/>
      <c r="J37" s="4"/>
      <c r="K37" s="4" t="s">
        <v>346</v>
      </c>
      <c r="L37" s="4" t="s">
        <v>347</v>
      </c>
      <c r="M37" s="4" t="s">
        <v>105</v>
      </c>
      <c r="N37" s="4" t="s">
        <v>106</v>
      </c>
      <c r="O37" s="4"/>
      <c r="P37" s="4"/>
      <c r="Q37" s="4" t="s">
        <v>107</v>
      </c>
      <c r="R37" s="4" t="s">
        <v>348</v>
      </c>
      <c r="S37" s="0" t="s">
        <v>49</v>
      </c>
    </row>
    <row r="38" customFormat="false" ht="34.5" hidden="false" customHeight="true" outlineLevel="0" collapsed="false">
      <c r="A38" s="4" t="s">
        <v>349</v>
      </c>
      <c r="B38" s="4" t="s">
        <v>350</v>
      </c>
      <c r="C38" s="4" t="s">
        <v>351</v>
      </c>
      <c r="D38" s="4" t="s">
        <v>22</v>
      </c>
      <c r="E38" s="4" t="s">
        <v>352</v>
      </c>
      <c r="F38" s="4" t="s">
        <v>353</v>
      </c>
      <c r="G38" s="4" t="s">
        <v>354</v>
      </c>
      <c r="H38" s="4" t="s">
        <v>134</v>
      </c>
      <c r="I38" s="4" t="s">
        <v>304</v>
      </c>
      <c r="J38" s="4"/>
      <c r="K38" s="4" t="s">
        <v>70</v>
      </c>
      <c r="L38" s="4" t="s">
        <v>128</v>
      </c>
      <c r="M38" s="4" t="s">
        <v>105</v>
      </c>
      <c r="N38" s="4" t="s">
        <v>106</v>
      </c>
      <c r="O38" s="4"/>
      <c r="P38" s="4"/>
      <c r="Q38" s="4" t="s">
        <v>107</v>
      </c>
      <c r="R38" s="4"/>
      <c r="S38" s="0" t="s">
        <v>49</v>
      </c>
    </row>
    <row r="39" customFormat="false" ht="34.5" hidden="false" customHeight="true" outlineLevel="0" collapsed="false">
      <c r="A39" s="4" t="s">
        <v>355</v>
      </c>
      <c r="B39" s="4" t="s">
        <v>356</v>
      </c>
      <c r="C39" s="4" t="s">
        <v>357</v>
      </c>
      <c r="D39" s="4" t="s">
        <v>147</v>
      </c>
      <c r="E39" s="4" t="s">
        <v>358</v>
      </c>
      <c r="F39" s="4" t="s">
        <v>359</v>
      </c>
      <c r="G39" s="4" t="s">
        <v>360</v>
      </c>
      <c r="H39" s="4" t="s">
        <v>102</v>
      </c>
      <c r="I39" s="4"/>
      <c r="J39" s="4"/>
      <c r="K39" s="4" t="s">
        <v>361</v>
      </c>
      <c r="L39" s="4" t="s">
        <v>362</v>
      </c>
      <c r="M39" s="4" t="s">
        <v>105</v>
      </c>
      <c r="N39" s="4" t="s">
        <v>106</v>
      </c>
      <c r="O39" s="4"/>
      <c r="P39" s="4"/>
      <c r="Q39" s="4" t="s">
        <v>107</v>
      </c>
      <c r="R39" s="4" t="s">
        <v>363</v>
      </c>
      <c r="S39" s="0" t="s">
        <v>49</v>
      </c>
    </row>
    <row r="40" customFormat="false" ht="34.5" hidden="false" customHeight="true" outlineLevel="0" collapsed="false">
      <c r="A40" s="4" t="s">
        <v>364</v>
      </c>
      <c r="B40" s="4" t="s">
        <v>365</v>
      </c>
      <c r="C40" s="4" t="s">
        <v>366</v>
      </c>
      <c r="D40" s="4" t="s">
        <v>22</v>
      </c>
      <c r="E40" s="4" t="s">
        <v>367</v>
      </c>
      <c r="F40" s="4" t="s">
        <v>368</v>
      </c>
      <c r="G40" s="4" t="s">
        <v>369</v>
      </c>
      <c r="H40" s="4" t="s">
        <v>134</v>
      </c>
      <c r="I40" s="4"/>
      <c r="J40" s="4"/>
      <c r="K40" s="4" t="s">
        <v>370</v>
      </c>
      <c r="L40" s="4" t="s">
        <v>128</v>
      </c>
      <c r="M40" s="4" t="s">
        <v>105</v>
      </c>
      <c r="N40" s="4" t="s">
        <v>106</v>
      </c>
      <c r="O40" s="4"/>
      <c r="P40" s="4"/>
      <c r="Q40" s="4" t="s">
        <v>107</v>
      </c>
      <c r="R40" s="4"/>
      <c r="S40" s="0" t="s">
        <v>49</v>
      </c>
    </row>
    <row r="41" customFormat="false" ht="34.5" hidden="false" customHeight="true" outlineLevel="0" collapsed="false">
      <c r="A41" s="4" t="s">
        <v>371</v>
      </c>
      <c r="B41" s="4" t="s">
        <v>372</v>
      </c>
      <c r="C41" s="4" t="s">
        <v>373</v>
      </c>
      <c r="D41" s="4" t="s">
        <v>22</v>
      </c>
      <c r="E41" s="4" t="s">
        <v>374</v>
      </c>
      <c r="F41" s="4" t="s">
        <v>375</v>
      </c>
      <c r="G41" s="4" t="s">
        <v>376</v>
      </c>
      <c r="H41" s="4" t="s">
        <v>134</v>
      </c>
      <c r="I41" s="4"/>
      <c r="J41" s="4"/>
      <c r="K41" s="4" t="s">
        <v>377</v>
      </c>
      <c r="L41" s="4" t="s">
        <v>128</v>
      </c>
      <c r="M41" s="4" t="s">
        <v>105</v>
      </c>
      <c r="N41" s="4" t="s">
        <v>106</v>
      </c>
      <c r="O41" s="4"/>
      <c r="P41" s="4"/>
      <c r="Q41" s="4" t="s">
        <v>107</v>
      </c>
      <c r="R41" s="4" t="s">
        <v>378</v>
      </c>
      <c r="S41" s="0" t="s">
        <v>49</v>
      </c>
    </row>
    <row r="42" customFormat="false" ht="34.5" hidden="false" customHeight="true" outlineLevel="0" collapsed="false">
      <c r="A42" s="4" t="s">
        <v>379</v>
      </c>
      <c r="B42" s="4" t="s">
        <v>380</v>
      </c>
      <c r="C42" s="4" t="s">
        <v>381</v>
      </c>
      <c r="D42" s="4" t="s">
        <v>271</v>
      </c>
      <c r="E42" s="4" t="s">
        <v>382</v>
      </c>
      <c r="F42" s="4" t="s">
        <v>383</v>
      </c>
      <c r="G42" s="4" t="s">
        <v>384</v>
      </c>
      <c r="H42" s="4" t="s">
        <v>385</v>
      </c>
      <c r="I42" s="4"/>
      <c r="J42" s="4"/>
      <c r="K42" s="4" t="s">
        <v>386</v>
      </c>
      <c r="L42" s="4" t="s">
        <v>128</v>
      </c>
      <c r="M42" s="4" t="s">
        <v>105</v>
      </c>
      <c r="N42" s="4" t="s">
        <v>106</v>
      </c>
      <c r="O42" s="4"/>
      <c r="P42" s="4"/>
      <c r="Q42" s="4" t="s">
        <v>107</v>
      </c>
      <c r="R42" s="4" t="s">
        <v>387</v>
      </c>
      <c r="S42" s="0" t="s">
        <v>49</v>
      </c>
    </row>
    <row r="43" customFormat="false" ht="34.5" hidden="false" customHeight="true" outlineLevel="0" collapsed="false">
      <c r="A43" s="4" t="s">
        <v>388</v>
      </c>
      <c r="B43" s="4" t="s">
        <v>389</v>
      </c>
      <c r="C43" s="4" t="s">
        <v>390</v>
      </c>
      <c r="D43" s="4" t="s">
        <v>147</v>
      </c>
      <c r="E43" s="4" t="s">
        <v>391</v>
      </c>
      <c r="F43" s="4" t="s">
        <v>392</v>
      </c>
      <c r="G43" s="4" t="s">
        <v>393</v>
      </c>
      <c r="H43" s="4" t="s">
        <v>102</v>
      </c>
      <c r="I43" s="4"/>
      <c r="J43" s="4"/>
      <c r="K43" s="4" t="s">
        <v>394</v>
      </c>
      <c r="L43" s="4" t="s">
        <v>395</v>
      </c>
      <c r="M43" s="4" t="s">
        <v>29</v>
      </c>
      <c r="N43" s="4" t="s">
        <v>396</v>
      </c>
      <c r="O43" s="4" t="s">
        <v>397</v>
      </c>
      <c r="P43" s="4" t="s">
        <v>398</v>
      </c>
      <c r="Q43" s="4" t="s">
        <v>33</v>
      </c>
      <c r="R43" s="4" t="s">
        <v>399</v>
      </c>
      <c r="S43" s="0" t="s">
        <v>49</v>
      </c>
    </row>
    <row r="44" customFormat="false" ht="34.5" hidden="false" customHeight="true" outlineLevel="0" collapsed="false">
      <c r="A44" s="4" t="s">
        <v>400</v>
      </c>
      <c r="B44" s="4" t="s">
        <v>401</v>
      </c>
      <c r="C44" s="4" t="s">
        <v>402</v>
      </c>
      <c r="D44" s="4" t="s">
        <v>22</v>
      </c>
      <c r="E44" s="4" t="s">
        <v>403</v>
      </c>
      <c r="F44" s="4" t="s">
        <v>404</v>
      </c>
      <c r="G44" s="4" t="s">
        <v>405</v>
      </c>
      <c r="H44" s="4" t="s">
        <v>406</v>
      </c>
      <c r="I44" s="4"/>
      <c r="J44" s="4"/>
      <c r="K44" s="4" t="s">
        <v>70</v>
      </c>
      <c r="L44" s="4" t="s">
        <v>407</v>
      </c>
      <c r="M44" s="4" t="s">
        <v>29</v>
      </c>
      <c r="N44" s="4" t="s">
        <v>59</v>
      </c>
      <c r="O44" s="4" t="s">
        <v>408</v>
      </c>
      <c r="P44" s="4" t="s">
        <v>409</v>
      </c>
      <c r="Q44" s="4" t="s">
        <v>33</v>
      </c>
      <c r="R44" s="4" t="s">
        <v>410</v>
      </c>
      <c r="S44" s="0" t="s">
        <v>49</v>
      </c>
    </row>
    <row r="45" customFormat="false" ht="45.75" hidden="false" customHeight="true" outlineLevel="0" collapsed="false">
      <c r="A45" s="4" t="s">
        <v>411</v>
      </c>
      <c r="B45" s="4" t="s">
        <v>412</v>
      </c>
      <c r="C45" s="4" t="s">
        <v>413</v>
      </c>
      <c r="D45" s="4" t="s">
        <v>22</v>
      </c>
      <c r="E45" s="4" t="s">
        <v>414</v>
      </c>
      <c r="F45" s="4" t="s">
        <v>415</v>
      </c>
      <c r="G45" s="4" t="s">
        <v>416</v>
      </c>
      <c r="H45" s="4" t="s">
        <v>417</v>
      </c>
      <c r="I45" s="4"/>
      <c r="J45" s="4"/>
      <c r="K45" s="4" t="s">
        <v>418</v>
      </c>
      <c r="L45" s="4" t="s">
        <v>419</v>
      </c>
      <c r="M45" s="4" t="s">
        <v>29</v>
      </c>
      <c r="N45" s="4" t="s">
        <v>59</v>
      </c>
      <c r="O45" s="4" t="s">
        <v>420</v>
      </c>
      <c r="P45" s="4" t="s">
        <v>421</v>
      </c>
      <c r="Q45" s="4" t="s">
        <v>33</v>
      </c>
      <c r="R45" s="4" t="s">
        <v>422</v>
      </c>
      <c r="S45" s="0" t="s">
        <v>49</v>
      </c>
    </row>
    <row r="46" customFormat="false" ht="34.5" hidden="false" customHeight="true" outlineLevel="0" collapsed="false">
      <c r="A46" s="4" t="s">
        <v>423</v>
      </c>
      <c r="B46" s="4" t="s">
        <v>424</v>
      </c>
      <c r="C46" s="4" t="s">
        <v>425</v>
      </c>
      <c r="D46" s="4" t="s">
        <v>22</v>
      </c>
      <c r="E46" s="4" t="s">
        <v>426</v>
      </c>
      <c r="F46" s="4" t="s">
        <v>427</v>
      </c>
      <c r="G46" s="4" t="s">
        <v>428</v>
      </c>
      <c r="H46" s="4" t="s">
        <v>134</v>
      </c>
      <c r="I46" s="4" t="s">
        <v>171</v>
      </c>
      <c r="J46" s="4" t="s">
        <v>171</v>
      </c>
      <c r="K46" s="4" t="s">
        <v>70</v>
      </c>
      <c r="L46" s="4" t="s">
        <v>128</v>
      </c>
      <c r="M46" s="4" t="s">
        <v>105</v>
      </c>
      <c r="N46" s="4" t="s">
        <v>106</v>
      </c>
      <c r="O46" s="4"/>
      <c r="P46" s="4"/>
      <c r="Q46" s="4" t="s">
        <v>107</v>
      </c>
      <c r="R46" s="4" t="s">
        <v>429</v>
      </c>
      <c r="S46" s="0" t="s">
        <v>49</v>
      </c>
    </row>
    <row r="47" customFormat="false" ht="34.5" hidden="false" customHeight="true" outlineLevel="0" collapsed="false">
      <c r="A47" s="4" t="s">
        <v>152</v>
      </c>
      <c r="B47" s="4" t="s">
        <v>430</v>
      </c>
      <c r="C47" s="4" t="s">
        <v>431</v>
      </c>
      <c r="D47" s="4" t="s">
        <v>147</v>
      </c>
      <c r="E47" s="4" t="s">
        <v>148</v>
      </c>
      <c r="F47" s="4" t="s">
        <v>149</v>
      </c>
      <c r="G47" s="4" t="s">
        <v>150</v>
      </c>
      <c r="H47" s="4" t="s">
        <v>102</v>
      </c>
      <c r="I47" s="4"/>
      <c r="J47" s="4"/>
      <c r="K47" s="4" t="s">
        <v>432</v>
      </c>
      <c r="L47" s="4" t="s">
        <v>433</v>
      </c>
      <c r="M47" s="4" t="s">
        <v>105</v>
      </c>
      <c r="N47" s="4" t="s">
        <v>106</v>
      </c>
      <c r="O47" s="4"/>
      <c r="P47" s="4"/>
      <c r="Q47" s="4" t="s">
        <v>107</v>
      </c>
      <c r="R47" s="4" t="s">
        <v>434</v>
      </c>
      <c r="S47" s="0" t="s">
        <v>49</v>
      </c>
    </row>
    <row r="48" customFormat="false" ht="34.5" hidden="false" customHeight="true" outlineLevel="0" collapsed="false">
      <c r="A48" s="4" t="s">
        <v>435</v>
      </c>
      <c r="B48" s="4" t="s">
        <v>436</v>
      </c>
      <c r="C48" s="4" t="s">
        <v>437</v>
      </c>
      <c r="D48" s="4" t="s">
        <v>22</v>
      </c>
      <c r="E48" s="4" t="s">
        <v>438</v>
      </c>
      <c r="F48" s="4" t="s">
        <v>439</v>
      </c>
      <c r="G48" s="4" t="s">
        <v>440</v>
      </c>
      <c r="H48" s="4" t="s">
        <v>441</v>
      </c>
      <c r="I48" s="4"/>
      <c r="J48" s="4"/>
      <c r="K48" s="4" t="s">
        <v>442</v>
      </c>
      <c r="L48" s="4" t="s">
        <v>128</v>
      </c>
      <c r="M48" s="4" t="s">
        <v>105</v>
      </c>
      <c r="N48" s="4" t="s">
        <v>106</v>
      </c>
      <c r="O48" s="4"/>
      <c r="P48" s="4"/>
      <c r="Q48" s="4" t="s">
        <v>107</v>
      </c>
      <c r="R48" s="4" t="s">
        <v>443</v>
      </c>
      <c r="S48" s="0" t="s">
        <v>49</v>
      </c>
    </row>
    <row r="49" customFormat="false" ht="34.5" hidden="false" customHeight="true" outlineLevel="0" collapsed="false">
      <c r="A49" s="4" t="s">
        <v>444</v>
      </c>
      <c r="B49" s="4" t="s">
        <v>445</v>
      </c>
      <c r="C49" s="4" t="s">
        <v>446</v>
      </c>
      <c r="D49" s="4" t="s">
        <v>147</v>
      </c>
      <c r="E49" s="4" t="s">
        <v>447</v>
      </c>
      <c r="F49" s="4" t="s">
        <v>448</v>
      </c>
      <c r="G49" s="4" t="s">
        <v>449</v>
      </c>
      <c r="H49" s="4" t="s">
        <v>42</v>
      </c>
      <c r="I49" s="4"/>
      <c r="J49" s="4"/>
      <c r="K49" s="4" t="s">
        <v>450</v>
      </c>
      <c r="L49" s="4" t="s">
        <v>451</v>
      </c>
      <c r="M49" s="4" t="s">
        <v>105</v>
      </c>
      <c r="N49" s="4" t="s">
        <v>106</v>
      </c>
      <c r="O49" s="4"/>
      <c r="P49" s="4"/>
      <c r="Q49" s="4" t="s">
        <v>107</v>
      </c>
      <c r="R49" s="4" t="s">
        <v>452</v>
      </c>
      <c r="S49" s="0" t="s">
        <v>49</v>
      </c>
    </row>
    <row r="50" customFormat="false" ht="34.5" hidden="false" customHeight="true" outlineLevel="0" collapsed="false">
      <c r="A50" s="4" t="s">
        <v>453</v>
      </c>
      <c r="B50" s="4" t="s">
        <v>454</v>
      </c>
      <c r="C50" s="4" t="s">
        <v>446</v>
      </c>
      <c r="D50" s="4" t="s">
        <v>147</v>
      </c>
      <c r="E50" s="4" t="s">
        <v>447</v>
      </c>
      <c r="F50" s="4" t="s">
        <v>455</v>
      </c>
      <c r="G50" s="4" t="s">
        <v>449</v>
      </c>
      <c r="H50" s="4" t="s">
        <v>456</v>
      </c>
      <c r="I50" s="4" t="s">
        <v>444</v>
      </c>
      <c r="J50" s="4"/>
      <c r="K50" s="4" t="s">
        <v>457</v>
      </c>
      <c r="L50" s="4" t="s">
        <v>458</v>
      </c>
      <c r="M50" s="4" t="s">
        <v>29</v>
      </c>
      <c r="N50" s="4" t="s">
        <v>59</v>
      </c>
      <c r="O50" s="4" t="s">
        <v>459</v>
      </c>
      <c r="P50" s="4" t="s">
        <v>460</v>
      </c>
      <c r="Q50" s="4" t="s">
        <v>33</v>
      </c>
      <c r="R50" s="4" t="s">
        <v>461</v>
      </c>
      <c r="S50" s="0" t="s">
        <v>49</v>
      </c>
    </row>
    <row r="51" customFormat="false" ht="34.5" hidden="false" customHeight="true" outlineLevel="0" collapsed="false">
      <c r="A51" s="4" t="s">
        <v>462</v>
      </c>
      <c r="B51" s="4" t="s">
        <v>463</v>
      </c>
      <c r="C51" s="4" t="s">
        <v>446</v>
      </c>
      <c r="D51" s="4" t="s">
        <v>147</v>
      </c>
      <c r="E51" s="4" t="s">
        <v>447</v>
      </c>
      <c r="F51" s="4" t="s">
        <v>464</v>
      </c>
      <c r="G51" s="4" t="s">
        <v>449</v>
      </c>
      <c r="H51" s="4" t="s">
        <v>42</v>
      </c>
      <c r="I51" s="4" t="s">
        <v>444</v>
      </c>
      <c r="J51" s="4"/>
      <c r="K51" s="4" t="s">
        <v>457</v>
      </c>
      <c r="L51" s="4" t="s">
        <v>465</v>
      </c>
      <c r="M51" s="4" t="s">
        <v>105</v>
      </c>
      <c r="N51" s="4" t="s">
        <v>106</v>
      </c>
      <c r="O51" s="4"/>
      <c r="P51" s="4"/>
      <c r="Q51" s="4" t="s">
        <v>107</v>
      </c>
      <c r="R51" s="4" t="s">
        <v>466</v>
      </c>
      <c r="S51" s="0" t="s">
        <v>49</v>
      </c>
    </row>
    <row r="52" customFormat="false" ht="34.5" hidden="false" customHeight="true" outlineLevel="0" collapsed="false">
      <c r="A52" s="4" t="s">
        <v>467</v>
      </c>
      <c r="B52" s="4" t="s">
        <v>468</v>
      </c>
      <c r="C52" s="4" t="s">
        <v>446</v>
      </c>
      <c r="D52" s="4" t="s">
        <v>147</v>
      </c>
      <c r="E52" s="4" t="s">
        <v>447</v>
      </c>
      <c r="F52" s="4" t="s">
        <v>469</v>
      </c>
      <c r="G52" s="4" t="s">
        <v>449</v>
      </c>
      <c r="H52" s="4" t="s">
        <v>42</v>
      </c>
      <c r="I52" s="4" t="s">
        <v>444</v>
      </c>
      <c r="J52" s="4"/>
      <c r="K52" s="4" t="s">
        <v>457</v>
      </c>
      <c r="L52" s="4" t="s">
        <v>465</v>
      </c>
      <c r="M52" s="4" t="s">
        <v>105</v>
      </c>
      <c r="N52" s="4" t="s">
        <v>106</v>
      </c>
      <c r="O52" s="4"/>
      <c r="P52" s="4"/>
      <c r="Q52" s="4" t="s">
        <v>107</v>
      </c>
      <c r="R52" s="4" t="s">
        <v>466</v>
      </c>
      <c r="S52" s="0" t="s">
        <v>49</v>
      </c>
    </row>
    <row r="53" customFormat="false" ht="34.5" hidden="false" customHeight="true" outlineLevel="0" collapsed="false">
      <c r="A53" s="4" t="s">
        <v>470</v>
      </c>
      <c r="B53" s="4" t="s">
        <v>471</v>
      </c>
      <c r="C53" s="4" t="s">
        <v>446</v>
      </c>
      <c r="D53" s="4" t="s">
        <v>147</v>
      </c>
      <c r="E53" s="4" t="s">
        <v>447</v>
      </c>
      <c r="F53" s="4" t="s">
        <v>472</v>
      </c>
      <c r="G53" s="4" t="s">
        <v>449</v>
      </c>
      <c r="H53" s="4" t="s">
        <v>42</v>
      </c>
      <c r="I53" s="4" t="s">
        <v>444</v>
      </c>
      <c r="J53" s="4"/>
      <c r="K53" s="4" t="s">
        <v>457</v>
      </c>
      <c r="L53" s="4" t="s">
        <v>465</v>
      </c>
      <c r="M53" s="4" t="s">
        <v>105</v>
      </c>
      <c r="N53" s="4" t="s">
        <v>106</v>
      </c>
      <c r="O53" s="4"/>
      <c r="P53" s="4"/>
      <c r="Q53" s="4" t="s">
        <v>107</v>
      </c>
      <c r="R53" s="4" t="s">
        <v>466</v>
      </c>
      <c r="S53" s="0" t="s">
        <v>49</v>
      </c>
    </row>
    <row r="54" customFormat="false" ht="34.5" hidden="false" customHeight="true" outlineLevel="0" collapsed="false">
      <c r="A54" s="4" t="s">
        <v>473</v>
      </c>
      <c r="B54" s="4" t="s">
        <v>474</v>
      </c>
      <c r="C54" s="4" t="s">
        <v>475</v>
      </c>
      <c r="D54" s="4" t="s">
        <v>22</v>
      </c>
      <c r="E54" s="4" t="s">
        <v>476</v>
      </c>
      <c r="F54" s="4" t="s">
        <v>477</v>
      </c>
      <c r="G54" s="4" t="s">
        <v>478</v>
      </c>
      <c r="H54" s="4" t="s">
        <v>134</v>
      </c>
      <c r="I54" s="4" t="s">
        <v>304</v>
      </c>
      <c r="J54" s="4"/>
      <c r="K54" s="4" t="s">
        <v>70</v>
      </c>
      <c r="L54" s="4" t="s">
        <v>128</v>
      </c>
      <c r="M54" s="4" t="s">
        <v>105</v>
      </c>
      <c r="N54" s="4" t="s">
        <v>106</v>
      </c>
      <c r="O54" s="4"/>
      <c r="P54" s="4"/>
      <c r="Q54" s="4" t="s">
        <v>107</v>
      </c>
      <c r="R54" s="4"/>
      <c r="S54" s="0" t="s">
        <v>49</v>
      </c>
    </row>
    <row r="55" customFormat="false" ht="34.5" hidden="false" customHeight="true" outlineLevel="0" collapsed="false">
      <c r="A55" s="4" t="s">
        <v>479</v>
      </c>
      <c r="B55" s="4" t="s">
        <v>480</v>
      </c>
      <c r="C55" s="4" t="s">
        <v>481</v>
      </c>
      <c r="D55" s="4" t="s">
        <v>22</v>
      </c>
      <c r="E55" s="4" t="s">
        <v>482</v>
      </c>
      <c r="F55" s="4" t="s">
        <v>483</v>
      </c>
      <c r="G55" s="4" t="s">
        <v>484</v>
      </c>
      <c r="H55" s="4" t="s">
        <v>134</v>
      </c>
      <c r="I55" s="4"/>
      <c r="J55" s="4"/>
      <c r="K55" s="4" t="s">
        <v>166</v>
      </c>
      <c r="L55" s="4" t="s">
        <v>222</v>
      </c>
      <c r="M55" s="4" t="s">
        <v>105</v>
      </c>
      <c r="N55" s="4" t="s">
        <v>106</v>
      </c>
      <c r="O55" s="4"/>
      <c r="P55" s="4"/>
      <c r="Q55" s="4" t="s">
        <v>107</v>
      </c>
      <c r="R55" s="4" t="s">
        <v>485</v>
      </c>
      <c r="S55" s="0" t="s">
        <v>49</v>
      </c>
    </row>
    <row r="56" customFormat="false" ht="34.5" hidden="false" customHeight="true" outlineLevel="0" collapsed="false">
      <c r="A56" s="4" t="s">
        <v>486</v>
      </c>
      <c r="B56" s="4" t="s">
        <v>487</v>
      </c>
      <c r="C56" s="4" t="s">
        <v>488</v>
      </c>
      <c r="D56" s="4" t="s">
        <v>147</v>
      </c>
      <c r="E56" s="4" t="s">
        <v>489</v>
      </c>
      <c r="F56" s="4" t="s">
        <v>490</v>
      </c>
      <c r="G56" s="4" t="s">
        <v>491</v>
      </c>
      <c r="H56" s="4" t="s">
        <v>102</v>
      </c>
      <c r="I56" s="4" t="s">
        <v>492</v>
      </c>
      <c r="J56" s="4"/>
      <c r="K56" s="4" t="s">
        <v>493</v>
      </c>
      <c r="L56" s="4" t="s">
        <v>465</v>
      </c>
      <c r="M56" s="4" t="s">
        <v>105</v>
      </c>
      <c r="N56" s="4" t="s">
        <v>106</v>
      </c>
      <c r="O56" s="4"/>
      <c r="P56" s="4"/>
      <c r="Q56" s="4" t="s">
        <v>107</v>
      </c>
      <c r="R56" s="4" t="s">
        <v>494</v>
      </c>
      <c r="S56" s="0" t="s">
        <v>49</v>
      </c>
    </row>
    <row r="57" customFormat="false" ht="34.5" hidden="false" customHeight="true" outlineLevel="0" collapsed="false">
      <c r="A57" s="4" t="s">
        <v>492</v>
      </c>
      <c r="B57" s="4" t="s">
        <v>495</v>
      </c>
      <c r="C57" s="4" t="s">
        <v>488</v>
      </c>
      <c r="D57" s="4" t="s">
        <v>147</v>
      </c>
      <c r="E57" s="4" t="s">
        <v>489</v>
      </c>
      <c r="F57" s="4" t="s">
        <v>490</v>
      </c>
      <c r="G57" s="4" t="s">
        <v>496</v>
      </c>
      <c r="H57" s="4" t="s">
        <v>102</v>
      </c>
      <c r="I57" s="4"/>
      <c r="J57" s="4"/>
      <c r="K57" s="4" t="s">
        <v>166</v>
      </c>
      <c r="L57" s="4" t="s">
        <v>222</v>
      </c>
      <c r="M57" s="4" t="s">
        <v>105</v>
      </c>
      <c r="N57" s="4" t="s">
        <v>106</v>
      </c>
      <c r="O57" s="4"/>
      <c r="P57" s="4"/>
      <c r="Q57" s="4" t="s">
        <v>107</v>
      </c>
      <c r="R57" s="4"/>
      <c r="S57" s="0" t="s">
        <v>49</v>
      </c>
    </row>
    <row r="58" customFormat="false" ht="34.5" hidden="false" customHeight="true" outlineLevel="0" collapsed="false">
      <c r="A58" s="4" t="s">
        <v>497</v>
      </c>
      <c r="B58" s="4" t="s">
        <v>498</v>
      </c>
      <c r="C58" s="4" t="s">
        <v>499</v>
      </c>
      <c r="D58" s="4" t="s">
        <v>22</v>
      </c>
      <c r="E58" s="4" t="s">
        <v>500</v>
      </c>
      <c r="F58" s="4" t="s">
        <v>501</v>
      </c>
      <c r="G58" s="4" t="s">
        <v>502</v>
      </c>
      <c r="H58" s="4" t="s">
        <v>503</v>
      </c>
      <c r="I58" s="4"/>
      <c r="J58" s="4"/>
      <c r="K58" s="4" t="s">
        <v>166</v>
      </c>
      <c r="L58" s="4" t="s">
        <v>222</v>
      </c>
      <c r="M58" s="4" t="s">
        <v>105</v>
      </c>
      <c r="N58" s="4" t="s">
        <v>106</v>
      </c>
      <c r="O58" s="4"/>
      <c r="P58" s="4"/>
      <c r="Q58" s="4" t="s">
        <v>107</v>
      </c>
      <c r="R58" s="4" t="s">
        <v>504</v>
      </c>
      <c r="S58" s="0" t="s">
        <v>49</v>
      </c>
    </row>
    <row r="59" customFormat="false" ht="34.5" hidden="false" customHeight="true" outlineLevel="0" collapsed="false">
      <c r="A59" s="4" t="s">
        <v>505</v>
      </c>
      <c r="B59" s="4" t="s">
        <v>506</v>
      </c>
      <c r="C59" s="4" t="s">
        <v>507</v>
      </c>
      <c r="D59" s="4" t="s">
        <v>22</v>
      </c>
      <c r="E59" s="4" t="s">
        <v>508</v>
      </c>
      <c r="F59" s="4" t="s">
        <v>509</v>
      </c>
      <c r="G59" s="4" t="s">
        <v>510</v>
      </c>
      <c r="H59" s="4" t="s">
        <v>134</v>
      </c>
      <c r="I59" s="4" t="s">
        <v>304</v>
      </c>
      <c r="J59" s="4"/>
      <c r="K59" s="4" t="s">
        <v>70</v>
      </c>
      <c r="L59" s="4" t="s">
        <v>128</v>
      </c>
      <c r="M59" s="4" t="s">
        <v>105</v>
      </c>
      <c r="N59" s="4" t="s">
        <v>106</v>
      </c>
      <c r="O59" s="4"/>
      <c r="P59" s="4"/>
      <c r="Q59" s="4" t="s">
        <v>107</v>
      </c>
      <c r="R59" s="4"/>
      <c r="S59" s="0" t="s">
        <v>49</v>
      </c>
    </row>
    <row r="60" customFormat="false" ht="34.5" hidden="false" customHeight="true" outlineLevel="0" collapsed="false">
      <c r="A60" s="4" t="s">
        <v>511</v>
      </c>
      <c r="B60" s="4" t="s">
        <v>512</v>
      </c>
      <c r="C60" s="4" t="s">
        <v>513</v>
      </c>
      <c r="D60" s="4" t="s">
        <v>22</v>
      </c>
      <c r="E60" s="4" t="s">
        <v>514</v>
      </c>
      <c r="F60" s="4" t="s">
        <v>515</v>
      </c>
      <c r="G60" s="4" t="s">
        <v>516</v>
      </c>
      <c r="H60" s="4" t="s">
        <v>503</v>
      </c>
      <c r="I60" s="4"/>
      <c r="J60" s="4"/>
      <c r="K60" s="4" t="s">
        <v>70</v>
      </c>
      <c r="L60" s="4" t="s">
        <v>128</v>
      </c>
      <c r="M60" s="4" t="s">
        <v>105</v>
      </c>
      <c r="N60" s="4" t="s">
        <v>106</v>
      </c>
      <c r="O60" s="4"/>
      <c r="P60" s="4"/>
      <c r="Q60" s="4" t="s">
        <v>107</v>
      </c>
      <c r="R60" s="4"/>
      <c r="S60" s="0" t="s">
        <v>49</v>
      </c>
    </row>
    <row r="61" customFormat="false" ht="34.5" hidden="false" customHeight="true" outlineLevel="0" collapsed="false">
      <c r="A61" s="4" t="s">
        <v>517</v>
      </c>
      <c r="B61" s="4" t="s">
        <v>518</v>
      </c>
      <c r="C61" s="4" t="s">
        <v>519</v>
      </c>
      <c r="D61" s="4" t="s">
        <v>22</v>
      </c>
      <c r="E61" s="4" t="s">
        <v>520</v>
      </c>
      <c r="F61" s="4" t="s">
        <v>521</v>
      </c>
      <c r="G61" s="4" t="s">
        <v>522</v>
      </c>
      <c r="H61" s="4" t="s">
        <v>134</v>
      </c>
      <c r="I61" s="4"/>
      <c r="J61" s="4"/>
      <c r="K61" s="4" t="s">
        <v>166</v>
      </c>
      <c r="L61" s="4" t="s">
        <v>222</v>
      </c>
      <c r="M61" s="4" t="s">
        <v>105</v>
      </c>
      <c r="N61" s="4" t="s">
        <v>106</v>
      </c>
      <c r="O61" s="4"/>
      <c r="P61" s="4"/>
      <c r="Q61" s="4" t="s">
        <v>107</v>
      </c>
      <c r="R61" s="4"/>
      <c r="S61" s="0" t="s">
        <v>49</v>
      </c>
    </row>
    <row r="62" customFormat="false" ht="34.5" hidden="false" customHeight="true" outlineLevel="0" collapsed="false">
      <c r="A62" s="4" t="s">
        <v>523</v>
      </c>
      <c r="B62" s="4" t="s">
        <v>524</v>
      </c>
      <c r="C62" s="4" t="s">
        <v>525</v>
      </c>
      <c r="D62" s="4" t="s">
        <v>22</v>
      </c>
      <c r="E62" s="4" t="s">
        <v>526</v>
      </c>
      <c r="F62" s="4" t="s">
        <v>527</v>
      </c>
      <c r="G62" s="4" t="s">
        <v>528</v>
      </c>
      <c r="H62" s="4" t="s">
        <v>529</v>
      </c>
      <c r="I62" s="4"/>
      <c r="J62" s="4"/>
      <c r="K62" s="4" t="s">
        <v>70</v>
      </c>
      <c r="L62" s="4" t="s">
        <v>128</v>
      </c>
      <c r="M62" s="4" t="s">
        <v>105</v>
      </c>
      <c r="N62" s="4" t="s">
        <v>106</v>
      </c>
      <c r="O62" s="4"/>
      <c r="P62" s="4"/>
      <c r="Q62" s="4" t="s">
        <v>107</v>
      </c>
      <c r="R62" s="4" t="s">
        <v>530</v>
      </c>
      <c r="S62" s="0" t="s">
        <v>49</v>
      </c>
    </row>
    <row r="63" customFormat="false" ht="34.5" hidden="false" customHeight="true" outlineLevel="0" collapsed="false">
      <c r="A63" s="4" t="s">
        <v>531</v>
      </c>
      <c r="B63" s="4" t="s">
        <v>532</v>
      </c>
      <c r="C63" s="4" t="s">
        <v>525</v>
      </c>
      <c r="D63" s="4" t="s">
        <v>22</v>
      </c>
      <c r="E63" s="4" t="s">
        <v>526</v>
      </c>
      <c r="F63" s="4" t="s">
        <v>533</v>
      </c>
      <c r="G63" s="4" t="s">
        <v>534</v>
      </c>
      <c r="H63" s="4" t="s">
        <v>535</v>
      </c>
      <c r="I63" s="4" t="s">
        <v>523</v>
      </c>
      <c r="J63" s="4" t="s">
        <v>523</v>
      </c>
      <c r="K63" s="4" t="s">
        <v>320</v>
      </c>
      <c r="L63" s="4" t="s">
        <v>321</v>
      </c>
      <c r="M63" s="4" t="s">
        <v>105</v>
      </c>
      <c r="N63" s="4" t="s">
        <v>106</v>
      </c>
      <c r="O63" s="4"/>
      <c r="P63" s="4"/>
      <c r="Q63" s="4" t="s">
        <v>107</v>
      </c>
      <c r="R63" s="4" t="s">
        <v>536</v>
      </c>
      <c r="S63" s="0" t="s">
        <v>49</v>
      </c>
    </row>
    <row r="64" customFormat="false" ht="34.5" hidden="false" customHeight="true" outlineLevel="0" collapsed="false">
      <c r="A64" s="4" t="s">
        <v>537</v>
      </c>
      <c r="B64" s="4" t="s">
        <v>538</v>
      </c>
      <c r="C64" s="4" t="s">
        <v>539</v>
      </c>
      <c r="D64" s="4" t="s">
        <v>22</v>
      </c>
      <c r="E64" s="4" t="s">
        <v>540</v>
      </c>
      <c r="F64" s="4" t="s">
        <v>541</v>
      </c>
      <c r="G64" s="4" t="s">
        <v>542</v>
      </c>
      <c r="H64" s="4" t="s">
        <v>134</v>
      </c>
      <c r="I64" s="4" t="s">
        <v>182</v>
      </c>
      <c r="J64" s="4"/>
      <c r="K64" s="4" t="s">
        <v>70</v>
      </c>
      <c r="L64" s="4" t="s">
        <v>128</v>
      </c>
      <c r="M64" s="4" t="s">
        <v>105</v>
      </c>
      <c r="N64" s="4" t="s">
        <v>106</v>
      </c>
      <c r="O64" s="4"/>
      <c r="P64" s="4"/>
      <c r="Q64" s="4" t="s">
        <v>107</v>
      </c>
      <c r="R64" s="4"/>
      <c r="S64" s="0" t="s">
        <v>49</v>
      </c>
    </row>
    <row r="65" customFormat="false" ht="34.5" hidden="false" customHeight="true" outlineLevel="0" collapsed="false">
      <c r="A65" s="4" t="s">
        <v>543</v>
      </c>
      <c r="B65" s="4" t="s">
        <v>544</v>
      </c>
      <c r="C65" s="4" t="s">
        <v>545</v>
      </c>
      <c r="D65" s="4" t="s">
        <v>22</v>
      </c>
      <c r="E65" s="4" t="s">
        <v>546</v>
      </c>
      <c r="F65" s="4" t="s">
        <v>547</v>
      </c>
      <c r="G65" s="4" t="s">
        <v>548</v>
      </c>
      <c r="H65" s="4" t="s">
        <v>549</v>
      </c>
      <c r="I65" s="4"/>
      <c r="J65" s="4"/>
      <c r="K65" s="4" t="s">
        <v>550</v>
      </c>
      <c r="L65" s="4" t="s">
        <v>119</v>
      </c>
      <c r="M65" s="4" t="s">
        <v>105</v>
      </c>
      <c r="N65" s="4" t="s">
        <v>106</v>
      </c>
      <c r="O65" s="4"/>
      <c r="P65" s="4"/>
      <c r="Q65" s="4" t="s">
        <v>551</v>
      </c>
      <c r="R65" s="4" t="s">
        <v>552</v>
      </c>
      <c r="S65" s="0" t="s">
        <v>49</v>
      </c>
    </row>
    <row r="66" customFormat="false" ht="34.5" hidden="false" customHeight="true" outlineLevel="0" collapsed="false">
      <c r="A66" s="4" t="s">
        <v>553</v>
      </c>
      <c r="B66" s="4" t="s">
        <v>554</v>
      </c>
      <c r="C66" s="4" t="s">
        <v>555</v>
      </c>
      <c r="D66" s="4" t="s">
        <v>22</v>
      </c>
      <c r="E66" s="4" t="s">
        <v>556</v>
      </c>
      <c r="F66" s="4" t="s">
        <v>557</v>
      </c>
      <c r="G66" s="4" t="s">
        <v>558</v>
      </c>
      <c r="H66" s="4" t="s">
        <v>102</v>
      </c>
      <c r="I66" s="4"/>
      <c r="J66" s="4"/>
      <c r="K66" s="4" t="s">
        <v>70</v>
      </c>
      <c r="L66" s="4" t="s">
        <v>128</v>
      </c>
      <c r="M66" s="4" t="s">
        <v>105</v>
      </c>
      <c r="N66" s="4" t="s">
        <v>106</v>
      </c>
      <c r="O66" s="4"/>
      <c r="P66" s="4"/>
      <c r="Q66" s="4" t="s">
        <v>107</v>
      </c>
      <c r="R66" s="4" t="s">
        <v>559</v>
      </c>
      <c r="S66" s="0" t="s">
        <v>49</v>
      </c>
    </row>
    <row r="67" customFormat="false" ht="34.5" hidden="false" customHeight="true" outlineLevel="0" collapsed="false">
      <c r="A67" s="4" t="s">
        <v>560</v>
      </c>
      <c r="B67" s="4" t="s">
        <v>561</v>
      </c>
      <c r="C67" s="4" t="s">
        <v>555</v>
      </c>
      <c r="D67" s="4" t="s">
        <v>22</v>
      </c>
      <c r="E67" s="4" t="s">
        <v>556</v>
      </c>
      <c r="F67" s="4" t="s">
        <v>562</v>
      </c>
      <c r="G67" s="4" t="s">
        <v>563</v>
      </c>
      <c r="H67" s="4" t="s">
        <v>102</v>
      </c>
      <c r="I67" s="4" t="s">
        <v>553</v>
      </c>
      <c r="J67" s="4" t="s">
        <v>553</v>
      </c>
      <c r="K67" s="4" t="s">
        <v>320</v>
      </c>
      <c r="L67" s="4" t="s">
        <v>321</v>
      </c>
      <c r="M67" s="4" t="s">
        <v>105</v>
      </c>
      <c r="N67" s="4" t="s">
        <v>106</v>
      </c>
      <c r="O67" s="4"/>
      <c r="P67" s="4"/>
      <c r="Q67" s="4" t="s">
        <v>107</v>
      </c>
      <c r="R67" s="4" t="s">
        <v>564</v>
      </c>
      <c r="S67" s="0" t="s">
        <v>49</v>
      </c>
    </row>
    <row r="68" customFormat="false" ht="34.5" hidden="false" customHeight="true" outlineLevel="0" collapsed="false">
      <c r="A68" s="4" t="s">
        <v>565</v>
      </c>
      <c r="B68" s="4" t="s">
        <v>566</v>
      </c>
      <c r="C68" s="4" t="s">
        <v>567</v>
      </c>
      <c r="D68" s="4" t="s">
        <v>22</v>
      </c>
      <c r="E68" s="4" t="s">
        <v>568</v>
      </c>
      <c r="F68" s="4" t="s">
        <v>569</v>
      </c>
      <c r="G68" s="4" t="s">
        <v>570</v>
      </c>
      <c r="H68" s="4" t="s">
        <v>571</v>
      </c>
      <c r="I68" s="4"/>
      <c r="J68" s="4"/>
      <c r="K68" s="4" t="s">
        <v>572</v>
      </c>
      <c r="L68" s="4" t="s">
        <v>128</v>
      </c>
      <c r="M68" s="4" t="s">
        <v>105</v>
      </c>
      <c r="N68" s="4" t="s">
        <v>106</v>
      </c>
      <c r="O68" s="4"/>
      <c r="P68" s="4"/>
      <c r="Q68" s="4" t="s">
        <v>107</v>
      </c>
      <c r="R68" s="4"/>
      <c r="S68" s="0" t="s">
        <v>49</v>
      </c>
    </row>
    <row r="69" customFormat="false" ht="34.5" hidden="false" customHeight="true" outlineLevel="0" collapsed="false">
      <c r="A69" s="4" t="s">
        <v>573</v>
      </c>
      <c r="B69" s="4" t="s">
        <v>574</v>
      </c>
      <c r="C69" s="4" t="s">
        <v>575</v>
      </c>
      <c r="D69" s="4" t="s">
        <v>22</v>
      </c>
      <c r="E69" s="4" t="s">
        <v>576</v>
      </c>
      <c r="F69" s="4" t="s">
        <v>577</v>
      </c>
      <c r="G69" s="4" t="s">
        <v>578</v>
      </c>
      <c r="H69" s="4" t="s">
        <v>579</v>
      </c>
      <c r="I69" s="4" t="s">
        <v>304</v>
      </c>
      <c r="J69" s="4"/>
      <c r="K69" s="4" t="s">
        <v>70</v>
      </c>
      <c r="L69" s="4" t="s">
        <v>128</v>
      </c>
      <c r="M69" s="4" t="s">
        <v>105</v>
      </c>
      <c r="N69" s="4" t="s">
        <v>106</v>
      </c>
      <c r="O69" s="4"/>
      <c r="P69" s="4"/>
      <c r="Q69" s="4" t="s">
        <v>107</v>
      </c>
      <c r="R69" s="4"/>
      <c r="S69" s="0" t="s">
        <v>49</v>
      </c>
    </row>
    <row r="70" customFormat="false" ht="34.5" hidden="false" customHeight="true" outlineLevel="0" collapsed="false">
      <c r="A70" s="4" t="s">
        <v>580</v>
      </c>
      <c r="B70" s="4" t="s">
        <v>581</v>
      </c>
      <c r="C70" s="4" t="s">
        <v>582</v>
      </c>
      <c r="D70" s="4" t="s">
        <v>22</v>
      </c>
      <c r="E70" s="4" t="s">
        <v>583</v>
      </c>
      <c r="F70" s="4" t="s">
        <v>584</v>
      </c>
      <c r="G70" s="4" t="s">
        <v>449</v>
      </c>
      <c r="H70" s="4" t="s">
        <v>102</v>
      </c>
      <c r="I70" s="4"/>
      <c r="J70" s="4"/>
      <c r="K70" s="4" t="s">
        <v>585</v>
      </c>
      <c r="L70" s="4" t="s">
        <v>119</v>
      </c>
      <c r="M70" s="4" t="s">
        <v>105</v>
      </c>
      <c r="N70" s="4" t="s">
        <v>106</v>
      </c>
      <c r="O70" s="4"/>
      <c r="P70" s="4"/>
      <c r="Q70" s="4" t="s">
        <v>586</v>
      </c>
      <c r="R70" s="4" t="s">
        <v>587</v>
      </c>
      <c r="S70" s="0" t="s">
        <v>49</v>
      </c>
    </row>
    <row r="71" customFormat="false" ht="45.75" hidden="false" customHeight="true" outlineLevel="0" collapsed="false">
      <c r="A71" s="4" t="s">
        <v>588</v>
      </c>
      <c r="B71" s="4" t="s">
        <v>589</v>
      </c>
      <c r="C71" s="4" t="s">
        <v>590</v>
      </c>
      <c r="D71" s="4" t="s">
        <v>22</v>
      </c>
      <c r="E71" s="4" t="s">
        <v>591</v>
      </c>
      <c r="F71" s="4" t="s">
        <v>592</v>
      </c>
      <c r="G71" s="4" t="s">
        <v>593</v>
      </c>
      <c r="H71" s="4" t="s">
        <v>594</v>
      </c>
      <c r="I71" s="4"/>
      <c r="J71" s="4"/>
      <c r="K71" s="4" t="s">
        <v>595</v>
      </c>
      <c r="L71" s="4" t="s">
        <v>596</v>
      </c>
      <c r="M71" s="4" t="s">
        <v>29</v>
      </c>
      <c r="N71" s="4" t="s">
        <v>59</v>
      </c>
      <c r="O71" s="4" t="s">
        <v>597</v>
      </c>
      <c r="P71" s="4" t="s">
        <v>598</v>
      </c>
      <c r="Q71" s="4" t="s">
        <v>33</v>
      </c>
      <c r="R71" s="4" t="s">
        <v>599</v>
      </c>
      <c r="S71" s="0" t="s">
        <v>49</v>
      </c>
    </row>
    <row r="72" customFormat="false" ht="34.5" hidden="false" customHeight="true" outlineLevel="0" collapsed="false">
      <c r="A72" s="4" t="s">
        <v>600</v>
      </c>
      <c r="B72" s="4" t="s">
        <v>601</v>
      </c>
      <c r="C72" s="4" t="s">
        <v>590</v>
      </c>
      <c r="D72" s="4" t="s">
        <v>22</v>
      </c>
      <c r="E72" s="4" t="s">
        <v>591</v>
      </c>
      <c r="F72" s="4" t="s">
        <v>602</v>
      </c>
      <c r="G72" s="4" t="s">
        <v>603</v>
      </c>
      <c r="H72" s="4" t="s">
        <v>102</v>
      </c>
      <c r="I72" s="4" t="s">
        <v>588</v>
      </c>
      <c r="J72" s="4"/>
      <c r="K72" s="4" t="s">
        <v>604</v>
      </c>
      <c r="L72" s="4" t="s">
        <v>119</v>
      </c>
      <c r="M72" s="4" t="s">
        <v>105</v>
      </c>
      <c r="N72" s="4" t="s">
        <v>106</v>
      </c>
      <c r="O72" s="4"/>
      <c r="P72" s="4"/>
      <c r="Q72" s="4" t="s">
        <v>605</v>
      </c>
      <c r="R72" s="4" t="s">
        <v>606</v>
      </c>
      <c r="S72" s="0" t="s">
        <v>49</v>
      </c>
    </row>
    <row r="73" customFormat="false" ht="34.5" hidden="false" customHeight="true" outlineLevel="0" collapsed="false">
      <c r="A73" s="4" t="s">
        <v>607</v>
      </c>
      <c r="B73" s="4" t="s">
        <v>608</v>
      </c>
      <c r="C73" s="4" t="s">
        <v>609</v>
      </c>
      <c r="D73" s="4" t="s">
        <v>22</v>
      </c>
      <c r="E73" s="4" t="s">
        <v>610</v>
      </c>
      <c r="F73" s="4" t="s">
        <v>611</v>
      </c>
      <c r="G73" s="4" t="s">
        <v>612</v>
      </c>
      <c r="H73" s="4" t="s">
        <v>134</v>
      </c>
      <c r="I73" s="4" t="s">
        <v>304</v>
      </c>
      <c r="J73" s="4"/>
      <c r="K73" s="4" t="s">
        <v>70</v>
      </c>
      <c r="L73" s="4" t="s">
        <v>128</v>
      </c>
      <c r="M73" s="4" t="s">
        <v>105</v>
      </c>
      <c r="N73" s="4" t="s">
        <v>106</v>
      </c>
      <c r="O73" s="4"/>
      <c r="P73" s="4"/>
      <c r="Q73" s="4" t="s">
        <v>107</v>
      </c>
      <c r="R73" s="4"/>
      <c r="S73" s="0" t="s">
        <v>49</v>
      </c>
    </row>
    <row r="74" customFormat="false" ht="34.5" hidden="false" customHeight="true" outlineLevel="0" collapsed="false">
      <c r="A74" s="4" t="s">
        <v>613</v>
      </c>
      <c r="B74" s="4" t="s">
        <v>614</v>
      </c>
      <c r="C74" s="4" t="s">
        <v>615</v>
      </c>
      <c r="D74" s="4" t="s">
        <v>22</v>
      </c>
      <c r="E74" s="4" t="s">
        <v>616</v>
      </c>
      <c r="F74" s="4" t="s">
        <v>617</v>
      </c>
      <c r="G74" s="4" t="s">
        <v>618</v>
      </c>
      <c r="H74" s="4" t="s">
        <v>134</v>
      </c>
      <c r="I74" s="4"/>
      <c r="J74" s="4"/>
      <c r="K74" s="4" t="s">
        <v>70</v>
      </c>
      <c r="L74" s="4" t="s">
        <v>128</v>
      </c>
      <c r="M74" s="4" t="s">
        <v>105</v>
      </c>
      <c r="N74" s="4" t="s">
        <v>106</v>
      </c>
      <c r="O74" s="4"/>
      <c r="P74" s="4"/>
      <c r="Q74" s="4" t="s">
        <v>107</v>
      </c>
      <c r="R74" s="4" t="s">
        <v>619</v>
      </c>
      <c r="S74" s="0" t="s">
        <v>49</v>
      </c>
    </row>
    <row r="75" customFormat="false" ht="34.5" hidden="false" customHeight="true" outlineLevel="0" collapsed="false">
      <c r="A75" s="4" t="s">
        <v>620</v>
      </c>
      <c r="B75" s="4" t="s">
        <v>621</v>
      </c>
      <c r="C75" s="4" t="s">
        <v>622</v>
      </c>
      <c r="D75" s="4" t="s">
        <v>22</v>
      </c>
      <c r="E75" s="4" t="s">
        <v>623</v>
      </c>
      <c r="F75" s="4" t="s">
        <v>624</v>
      </c>
      <c r="G75" s="4" t="s">
        <v>625</v>
      </c>
      <c r="H75" s="4" t="s">
        <v>626</v>
      </c>
      <c r="I75" s="4"/>
      <c r="J75" s="4"/>
      <c r="K75" s="4" t="s">
        <v>627</v>
      </c>
      <c r="L75" s="4" t="s">
        <v>628</v>
      </c>
      <c r="M75" s="4" t="s">
        <v>105</v>
      </c>
      <c r="N75" s="4" t="s">
        <v>106</v>
      </c>
      <c r="O75" s="4"/>
      <c r="P75" s="4"/>
      <c r="Q75" s="4" t="s">
        <v>107</v>
      </c>
      <c r="R75" s="4" t="s">
        <v>629</v>
      </c>
      <c r="S75" s="0" t="s">
        <v>49</v>
      </c>
    </row>
    <row r="76" customFormat="false" ht="34.5" hidden="false" customHeight="true" outlineLevel="0" collapsed="false">
      <c r="A76" s="4" t="s">
        <v>630</v>
      </c>
      <c r="B76" s="4" t="s">
        <v>631</v>
      </c>
      <c r="C76" s="4" t="s">
        <v>632</v>
      </c>
      <c r="D76" s="4" t="s">
        <v>22</v>
      </c>
      <c r="E76" s="4" t="s">
        <v>633</v>
      </c>
      <c r="F76" s="4" t="s">
        <v>634</v>
      </c>
      <c r="G76" s="4" t="s">
        <v>635</v>
      </c>
      <c r="H76" s="4" t="s">
        <v>102</v>
      </c>
      <c r="I76" s="4"/>
      <c r="J76" s="4"/>
      <c r="K76" s="4" t="s">
        <v>636</v>
      </c>
      <c r="L76" s="4" t="s">
        <v>465</v>
      </c>
      <c r="M76" s="4" t="s">
        <v>105</v>
      </c>
      <c r="N76" s="4" t="s">
        <v>106</v>
      </c>
      <c r="O76" s="4"/>
      <c r="P76" s="4"/>
      <c r="Q76" s="4" t="s">
        <v>107</v>
      </c>
      <c r="R76" s="4"/>
      <c r="S76" s="0" t="s">
        <v>49</v>
      </c>
    </row>
    <row r="77" customFormat="false" ht="34.5" hidden="false" customHeight="true" outlineLevel="0" collapsed="false">
      <c r="A77" s="4" t="s">
        <v>637</v>
      </c>
      <c r="B77" s="4" t="s">
        <v>638</v>
      </c>
      <c r="C77" s="4" t="s">
        <v>639</v>
      </c>
      <c r="D77" s="4" t="s">
        <v>22</v>
      </c>
      <c r="E77" s="4" t="s">
        <v>640</v>
      </c>
      <c r="F77" s="4" t="s">
        <v>641</v>
      </c>
      <c r="G77" s="4" t="s">
        <v>642</v>
      </c>
      <c r="H77" s="4" t="s">
        <v>643</v>
      </c>
      <c r="I77" s="4"/>
      <c r="J77" s="4"/>
      <c r="K77" s="4" t="s">
        <v>644</v>
      </c>
      <c r="L77" s="4" t="s">
        <v>128</v>
      </c>
      <c r="M77" s="4" t="s">
        <v>105</v>
      </c>
      <c r="N77" s="4" t="s">
        <v>106</v>
      </c>
      <c r="O77" s="4"/>
      <c r="P77" s="4"/>
      <c r="Q77" s="4" t="s">
        <v>107</v>
      </c>
      <c r="R77" s="4" t="s">
        <v>645</v>
      </c>
      <c r="S77" s="0" t="s">
        <v>49</v>
      </c>
    </row>
    <row r="78" customFormat="false" ht="34.5" hidden="false" customHeight="true" outlineLevel="0" collapsed="false">
      <c r="A78" s="4" t="s">
        <v>646</v>
      </c>
      <c r="B78" s="4" t="s">
        <v>647</v>
      </c>
      <c r="C78" s="4" t="s">
        <v>648</v>
      </c>
      <c r="D78" s="4" t="s">
        <v>147</v>
      </c>
      <c r="E78" s="4" t="s">
        <v>649</v>
      </c>
      <c r="F78" s="4" t="s">
        <v>650</v>
      </c>
      <c r="G78" s="4" t="s">
        <v>651</v>
      </c>
      <c r="H78" s="4" t="s">
        <v>42</v>
      </c>
      <c r="I78" s="4"/>
      <c r="J78" s="4"/>
      <c r="K78" s="4" t="s">
        <v>652</v>
      </c>
      <c r="L78" s="4" t="s">
        <v>653</v>
      </c>
      <c r="M78" s="4" t="s">
        <v>105</v>
      </c>
      <c r="N78" s="4" t="s">
        <v>106</v>
      </c>
      <c r="O78" s="4"/>
      <c r="P78" s="4"/>
      <c r="Q78" s="4" t="s">
        <v>107</v>
      </c>
      <c r="R78" s="4" t="s">
        <v>654</v>
      </c>
      <c r="S78" s="0" t="s">
        <v>49</v>
      </c>
    </row>
    <row r="79" customFormat="false" ht="34.5" hidden="false" customHeight="true" outlineLevel="0" collapsed="false">
      <c r="A79" s="4" t="s">
        <v>655</v>
      </c>
      <c r="B79" s="4" t="s">
        <v>656</v>
      </c>
      <c r="C79" s="4" t="s">
        <v>657</v>
      </c>
      <c r="D79" s="4" t="s">
        <v>22</v>
      </c>
      <c r="E79" s="4" t="s">
        <v>658</v>
      </c>
      <c r="F79" s="4" t="s">
        <v>659</v>
      </c>
      <c r="G79" s="4" t="s">
        <v>660</v>
      </c>
      <c r="H79" s="4" t="s">
        <v>102</v>
      </c>
      <c r="I79" s="4"/>
      <c r="J79" s="4"/>
      <c r="K79" s="4" t="s">
        <v>661</v>
      </c>
      <c r="L79" s="4" t="s">
        <v>662</v>
      </c>
      <c r="M79" s="4" t="s">
        <v>105</v>
      </c>
      <c r="N79" s="4" t="s">
        <v>106</v>
      </c>
      <c r="O79" s="4"/>
      <c r="P79" s="4"/>
      <c r="Q79" s="4" t="s">
        <v>107</v>
      </c>
      <c r="R79" s="4" t="s">
        <v>663</v>
      </c>
      <c r="S79" s="0" t="s">
        <v>49</v>
      </c>
    </row>
    <row r="80" customFormat="false" ht="34.5" hidden="false" customHeight="true" outlineLevel="0" collapsed="false">
      <c r="A80" s="4" t="s">
        <v>664</v>
      </c>
      <c r="B80" s="4" t="s">
        <v>665</v>
      </c>
      <c r="C80" s="4" t="s">
        <v>657</v>
      </c>
      <c r="D80" s="4" t="s">
        <v>22</v>
      </c>
      <c r="E80" s="4" t="s">
        <v>658</v>
      </c>
      <c r="F80" s="4" t="s">
        <v>666</v>
      </c>
      <c r="G80" s="4" t="s">
        <v>667</v>
      </c>
      <c r="H80" s="4" t="s">
        <v>102</v>
      </c>
      <c r="I80" s="4" t="s">
        <v>655</v>
      </c>
      <c r="J80" s="4"/>
      <c r="K80" s="4" t="s">
        <v>668</v>
      </c>
      <c r="L80" s="4" t="s">
        <v>321</v>
      </c>
      <c r="M80" s="4" t="s">
        <v>105</v>
      </c>
      <c r="N80" s="4" t="s">
        <v>106</v>
      </c>
      <c r="O80" s="4"/>
      <c r="P80" s="4"/>
      <c r="Q80" s="4" t="s">
        <v>107</v>
      </c>
      <c r="R80" s="4"/>
      <c r="S80" s="0" t="s">
        <v>49</v>
      </c>
    </row>
    <row r="81" customFormat="false" ht="34.5" hidden="false" customHeight="true" outlineLevel="0" collapsed="false">
      <c r="A81" s="4" t="s">
        <v>669</v>
      </c>
      <c r="B81" s="4" t="s">
        <v>670</v>
      </c>
      <c r="C81" s="4" t="s">
        <v>657</v>
      </c>
      <c r="D81" s="4" t="s">
        <v>22</v>
      </c>
      <c r="E81" s="4" t="s">
        <v>658</v>
      </c>
      <c r="F81" s="4" t="s">
        <v>671</v>
      </c>
      <c r="G81" s="4" t="s">
        <v>672</v>
      </c>
      <c r="H81" s="4" t="s">
        <v>134</v>
      </c>
      <c r="I81" s="4" t="s">
        <v>655</v>
      </c>
      <c r="J81" s="4"/>
      <c r="K81" s="4" t="s">
        <v>668</v>
      </c>
      <c r="L81" s="4" t="s">
        <v>321</v>
      </c>
      <c r="M81" s="4" t="s">
        <v>105</v>
      </c>
      <c r="N81" s="4" t="s">
        <v>106</v>
      </c>
      <c r="O81" s="4"/>
      <c r="P81" s="4"/>
      <c r="Q81" s="4" t="s">
        <v>107</v>
      </c>
      <c r="R81" s="4"/>
      <c r="S81" s="0" t="s">
        <v>49</v>
      </c>
    </row>
    <row r="82" customFormat="false" ht="34.5" hidden="false" customHeight="true" outlineLevel="0" collapsed="false">
      <c r="A82" s="4" t="s">
        <v>673</v>
      </c>
      <c r="B82" s="4" t="s">
        <v>674</v>
      </c>
      <c r="C82" s="4" t="s">
        <v>657</v>
      </c>
      <c r="D82" s="4" t="s">
        <v>22</v>
      </c>
      <c r="E82" s="4" t="s">
        <v>658</v>
      </c>
      <c r="F82" s="4" t="s">
        <v>675</v>
      </c>
      <c r="G82" s="4" t="s">
        <v>676</v>
      </c>
      <c r="H82" s="4" t="s">
        <v>134</v>
      </c>
      <c r="I82" s="4" t="s">
        <v>655</v>
      </c>
      <c r="J82" s="4"/>
      <c r="K82" s="4" t="s">
        <v>668</v>
      </c>
      <c r="L82" s="4" t="s">
        <v>321</v>
      </c>
      <c r="M82" s="4" t="s">
        <v>105</v>
      </c>
      <c r="N82" s="4" t="s">
        <v>106</v>
      </c>
      <c r="O82" s="4"/>
      <c r="P82" s="4"/>
      <c r="Q82" s="4" t="s">
        <v>107</v>
      </c>
      <c r="R82" s="4"/>
      <c r="S82" s="0" t="s">
        <v>49</v>
      </c>
    </row>
    <row r="83" customFormat="false" ht="34.5" hidden="false" customHeight="true" outlineLevel="0" collapsed="false">
      <c r="A83" s="4" t="s">
        <v>677</v>
      </c>
      <c r="B83" s="4" t="s">
        <v>678</v>
      </c>
      <c r="C83" s="4" t="s">
        <v>89</v>
      </c>
      <c r="D83" s="4" t="s">
        <v>22</v>
      </c>
      <c r="E83" s="4" t="s">
        <v>90</v>
      </c>
      <c r="F83" s="4" t="s">
        <v>679</v>
      </c>
      <c r="G83" s="4" t="s">
        <v>101</v>
      </c>
      <c r="H83" s="4" t="s">
        <v>102</v>
      </c>
      <c r="I83" s="4" t="s">
        <v>87</v>
      </c>
      <c r="J83" s="4"/>
      <c r="K83" s="4" t="s">
        <v>680</v>
      </c>
      <c r="L83" s="4" t="s">
        <v>119</v>
      </c>
      <c r="M83" s="4" t="s">
        <v>105</v>
      </c>
      <c r="N83" s="4" t="s">
        <v>106</v>
      </c>
      <c r="O83" s="4"/>
      <c r="P83" s="4"/>
      <c r="Q83" s="4" t="s">
        <v>107</v>
      </c>
      <c r="R83" s="4" t="s">
        <v>681</v>
      </c>
      <c r="S83" s="0" t="s">
        <v>49</v>
      </c>
    </row>
    <row r="84" customFormat="false" ht="34.5" hidden="false" customHeight="true" outlineLevel="0" collapsed="false">
      <c r="A84" s="4" t="s">
        <v>682</v>
      </c>
      <c r="B84" s="4" t="s">
        <v>683</v>
      </c>
      <c r="C84" s="4" t="s">
        <v>306</v>
      </c>
      <c r="D84" s="4" t="s">
        <v>22</v>
      </c>
      <c r="E84" s="4" t="s">
        <v>307</v>
      </c>
      <c r="F84" s="4" t="s">
        <v>684</v>
      </c>
      <c r="G84" s="4" t="s">
        <v>685</v>
      </c>
      <c r="H84" s="4" t="s">
        <v>686</v>
      </c>
      <c r="I84" s="4" t="s">
        <v>304</v>
      </c>
      <c r="J84" s="4"/>
      <c r="K84" s="4" t="s">
        <v>687</v>
      </c>
      <c r="L84" s="4" t="s">
        <v>119</v>
      </c>
      <c r="M84" s="4" t="s">
        <v>105</v>
      </c>
      <c r="N84" s="4" t="s">
        <v>106</v>
      </c>
      <c r="O84" s="4"/>
      <c r="P84" s="4"/>
      <c r="Q84" s="4" t="s">
        <v>686</v>
      </c>
      <c r="R84" s="4" t="s">
        <v>688</v>
      </c>
      <c r="S84" s="0" t="s">
        <v>49</v>
      </c>
    </row>
    <row r="85" customFormat="false" ht="34.5" hidden="false" customHeight="true" outlineLevel="0" collapsed="false">
      <c r="A85" s="4" t="s">
        <v>689</v>
      </c>
      <c r="B85" s="4" t="s">
        <v>690</v>
      </c>
      <c r="C85" s="4" t="s">
        <v>691</v>
      </c>
      <c r="D85" s="4" t="s">
        <v>22</v>
      </c>
      <c r="E85" s="4" t="s">
        <v>692</v>
      </c>
      <c r="F85" s="4" t="s">
        <v>693</v>
      </c>
      <c r="G85" s="4" t="s">
        <v>694</v>
      </c>
      <c r="H85" s="4" t="s">
        <v>102</v>
      </c>
      <c r="I85" s="4"/>
      <c r="J85" s="4"/>
      <c r="K85" s="4" t="s">
        <v>695</v>
      </c>
      <c r="L85" s="4" t="s">
        <v>119</v>
      </c>
      <c r="M85" s="4" t="s">
        <v>105</v>
      </c>
      <c r="N85" s="4" t="s">
        <v>106</v>
      </c>
      <c r="O85" s="4"/>
      <c r="P85" s="4"/>
      <c r="Q85" s="4" t="s">
        <v>107</v>
      </c>
      <c r="R85" s="4" t="s">
        <v>696</v>
      </c>
      <c r="S85" s="0" t="s">
        <v>49</v>
      </c>
    </row>
    <row r="86" customFormat="false" ht="34.5" hidden="false" customHeight="true" outlineLevel="0" collapsed="false">
      <c r="A86" s="4" t="s">
        <v>697</v>
      </c>
      <c r="B86" s="4" t="s">
        <v>698</v>
      </c>
      <c r="C86" s="4" t="s">
        <v>699</v>
      </c>
      <c r="D86" s="4" t="s">
        <v>22</v>
      </c>
      <c r="E86" s="4" t="s">
        <v>700</v>
      </c>
      <c r="F86" s="4" t="s">
        <v>701</v>
      </c>
      <c r="G86" s="4" t="s">
        <v>702</v>
      </c>
      <c r="H86" s="4" t="s">
        <v>703</v>
      </c>
      <c r="I86" s="4"/>
      <c r="J86" s="4"/>
      <c r="K86" s="4" t="s">
        <v>704</v>
      </c>
      <c r="L86" s="4" t="s">
        <v>705</v>
      </c>
      <c r="M86" s="4" t="s">
        <v>29</v>
      </c>
      <c r="N86" s="4" t="s">
        <v>59</v>
      </c>
      <c r="O86" s="4" t="s">
        <v>706</v>
      </c>
      <c r="P86" s="4" t="s">
        <v>707</v>
      </c>
      <c r="Q86" s="4" t="s">
        <v>33</v>
      </c>
      <c r="R86" s="4" t="s">
        <v>708</v>
      </c>
      <c r="S86" s="0" t="s">
        <v>49</v>
      </c>
    </row>
    <row r="87" customFormat="false" ht="34.5" hidden="false" customHeight="true" outlineLevel="0" collapsed="false">
      <c r="A87" s="4" t="s">
        <v>709</v>
      </c>
      <c r="B87" s="4" t="s">
        <v>710</v>
      </c>
      <c r="C87" s="4" t="s">
        <v>711</v>
      </c>
      <c r="D87" s="4" t="s">
        <v>22</v>
      </c>
      <c r="E87" s="4" t="s">
        <v>712</v>
      </c>
      <c r="F87" s="4" t="s">
        <v>713</v>
      </c>
      <c r="G87" s="4" t="s">
        <v>714</v>
      </c>
      <c r="H87" s="4" t="s">
        <v>134</v>
      </c>
      <c r="I87" s="4"/>
      <c r="J87" s="4"/>
      <c r="K87" s="4" t="s">
        <v>70</v>
      </c>
      <c r="L87" s="4" t="s">
        <v>128</v>
      </c>
      <c r="M87" s="4" t="s">
        <v>105</v>
      </c>
      <c r="N87" s="4" t="s">
        <v>106</v>
      </c>
      <c r="O87" s="4"/>
      <c r="P87" s="4"/>
      <c r="Q87" s="4" t="s">
        <v>107</v>
      </c>
      <c r="R87" s="4"/>
      <c r="S87" s="0" t="s">
        <v>49</v>
      </c>
    </row>
    <row r="88" customFormat="false" ht="34.5" hidden="false" customHeight="true" outlineLevel="0" collapsed="false">
      <c r="A88" s="4" t="s">
        <v>715</v>
      </c>
      <c r="B88" s="4" t="s">
        <v>716</v>
      </c>
      <c r="C88" s="4" t="s">
        <v>717</v>
      </c>
      <c r="D88" s="4" t="s">
        <v>22</v>
      </c>
      <c r="E88" s="4" t="s">
        <v>718</v>
      </c>
      <c r="F88" s="4" t="s">
        <v>719</v>
      </c>
      <c r="G88" s="4" t="s">
        <v>720</v>
      </c>
      <c r="H88" s="4" t="s">
        <v>721</v>
      </c>
      <c r="I88" s="4"/>
      <c r="J88" s="4"/>
      <c r="K88" s="4" t="s">
        <v>166</v>
      </c>
      <c r="L88" s="4" t="s">
        <v>465</v>
      </c>
      <c r="M88" s="4" t="s">
        <v>105</v>
      </c>
      <c r="N88" s="4" t="s">
        <v>106</v>
      </c>
      <c r="O88" s="4"/>
      <c r="P88" s="4"/>
      <c r="Q88" s="4" t="s">
        <v>107</v>
      </c>
      <c r="R88" s="4"/>
      <c r="S88" s="0" t="s">
        <v>49</v>
      </c>
    </row>
    <row r="89" customFormat="false" ht="34.5" hidden="false" customHeight="true" outlineLevel="0" collapsed="false">
      <c r="A89" s="4" t="s">
        <v>722</v>
      </c>
      <c r="B89" s="4" t="s">
        <v>723</v>
      </c>
      <c r="C89" s="4" t="s">
        <v>724</v>
      </c>
      <c r="D89" s="4" t="s">
        <v>22</v>
      </c>
      <c r="E89" s="4" t="s">
        <v>725</v>
      </c>
      <c r="F89" s="4" t="s">
        <v>726</v>
      </c>
      <c r="G89" s="4" t="s">
        <v>727</v>
      </c>
      <c r="H89" s="4" t="s">
        <v>134</v>
      </c>
      <c r="I89" s="4" t="s">
        <v>182</v>
      </c>
      <c r="J89" s="4"/>
      <c r="K89" s="4" t="s">
        <v>70</v>
      </c>
      <c r="L89" s="4" t="s">
        <v>128</v>
      </c>
      <c r="M89" s="4" t="s">
        <v>105</v>
      </c>
      <c r="N89" s="4" t="s">
        <v>106</v>
      </c>
      <c r="O89" s="4"/>
      <c r="P89" s="4"/>
      <c r="Q89" s="4" t="s">
        <v>107</v>
      </c>
      <c r="R89" s="4"/>
      <c r="S89" s="0" t="s">
        <v>49</v>
      </c>
    </row>
    <row r="90" customFormat="false" ht="34.5" hidden="false" customHeight="true" outlineLevel="0" collapsed="false">
      <c r="A90" s="4" t="s">
        <v>728</v>
      </c>
      <c r="B90" s="4" t="s">
        <v>729</v>
      </c>
      <c r="C90" s="4" t="s">
        <v>730</v>
      </c>
      <c r="D90" s="4" t="s">
        <v>22</v>
      </c>
      <c r="E90" s="4" t="s">
        <v>731</v>
      </c>
      <c r="F90" s="4" t="s">
        <v>732</v>
      </c>
      <c r="G90" s="4" t="s">
        <v>733</v>
      </c>
      <c r="H90" s="4" t="s">
        <v>102</v>
      </c>
      <c r="I90" s="4"/>
      <c r="J90" s="4"/>
      <c r="K90" s="4" t="s">
        <v>734</v>
      </c>
      <c r="L90" s="4" t="s">
        <v>321</v>
      </c>
      <c r="M90" s="4" t="s">
        <v>105</v>
      </c>
      <c r="N90" s="4" t="s">
        <v>106</v>
      </c>
      <c r="O90" s="4"/>
      <c r="P90" s="4"/>
      <c r="Q90" s="4" t="s">
        <v>107</v>
      </c>
      <c r="R90" s="4" t="s">
        <v>735</v>
      </c>
      <c r="S90" s="0" t="s">
        <v>49</v>
      </c>
    </row>
    <row r="91" customFormat="false" ht="34.5" hidden="false" customHeight="true" outlineLevel="0" collapsed="false">
      <c r="A91" s="4" t="s">
        <v>736</v>
      </c>
      <c r="B91" s="4" t="s">
        <v>737</v>
      </c>
      <c r="C91" s="4" t="s">
        <v>738</v>
      </c>
      <c r="D91" s="4" t="s">
        <v>22</v>
      </c>
      <c r="E91" s="4" t="s">
        <v>739</v>
      </c>
      <c r="F91" s="4" t="s">
        <v>740</v>
      </c>
      <c r="G91" s="4" t="s">
        <v>741</v>
      </c>
      <c r="H91" s="4" t="s">
        <v>742</v>
      </c>
      <c r="I91" s="4"/>
      <c r="J91" s="4"/>
      <c r="K91" s="4" t="s">
        <v>743</v>
      </c>
      <c r="L91" s="4" t="s">
        <v>742</v>
      </c>
      <c r="M91" s="4" t="s">
        <v>105</v>
      </c>
      <c r="N91" s="4" t="s">
        <v>106</v>
      </c>
      <c r="O91" s="4"/>
      <c r="P91" s="4"/>
      <c r="Q91" s="4" t="s">
        <v>107</v>
      </c>
      <c r="R91" s="4" t="s">
        <v>744</v>
      </c>
      <c r="S91" s="0" t="s">
        <v>49</v>
      </c>
    </row>
    <row r="92" customFormat="false" ht="34.5" hidden="false" customHeight="true" outlineLevel="0" collapsed="false">
      <c r="A92" s="4" t="s">
        <v>745</v>
      </c>
      <c r="B92" s="4" t="s">
        <v>746</v>
      </c>
      <c r="C92" s="4" t="s">
        <v>747</v>
      </c>
      <c r="D92" s="4" t="s">
        <v>147</v>
      </c>
      <c r="E92" s="4" t="s">
        <v>748</v>
      </c>
      <c r="F92" s="4" t="s">
        <v>749</v>
      </c>
      <c r="G92" s="4" t="s">
        <v>750</v>
      </c>
      <c r="H92" s="4" t="s">
        <v>102</v>
      </c>
      <c r="I92" s="4"/>
      <c r="J92" s="4"/>
      <c r="K92" s="4" t="s">
        <v>751</v>
      </c>
      <c r="L92" s="4" t="s">
        <v>752</v>
      </c>
      <c r="M92" s="4" t="s">
        <v>105</v>
      </c>
      <c r="N92" s="4" t="s">
        <v>106</v>
      </c>
      <c r="O92" s="4"/>
      <c r="P92" s="4"/>
      <c r="Q92" s="4" t="s">
        <v>107</v>
      </c>
      <c r="R92" s="4" t="s">
        <v>753</v>
      </c>
      <c r="S92" s="0" t="s">
        <v>49</v>
      </c>
    </row>
    <row r="93" customFormat="false" ht="34.5" hidden="false" customHeight="true" outlineLevel="0" collapsed="false">
      <c r="A93" s="4" t="s">
        <v>754</v>
      </c>
      <c r="B93" s="4" t="s">
        <v>755</v>
      </c>
      <c r="C93" s="4" t="s">
        <v>756</v>
      </c>
      <c r="D93" s="4" t="s">
        <v>22</v>
      </c>
      <c r="E93" s="4" t="s">
        <v>757</v>
      </c>
      <c r="F93" s="4" t="s">
        <v>758</v>
      </c>
      <c r="G93" s="4" t="s">
        <v>759</v>
      </c>
      <c r="H93" s="4" t="s">
        <v>134</v>
      </c>
      <c r="I93" s="4"/>
      <c r="J93" s="4"/>
      <c r="K93" s="4" t="s">
        <v>70</v>
      </c>
      <c r="L93" s="4" t="s">
        <v>128</v>
      </c>
      <c r="M93" s="4" t="s">
        <v>105</v>
      </c>
      <c r="N93" s="4" t="s">
        <v>106</v>
      </c>
      <c r="O93" s="4"/>
      <c r="P93" s="4"/>
      <c r="Q93" s="4" t="s">
        <v>107</v>
      </c>
      <c r="R93" s="4"/>
      <c r="S93" s="0" t="s">
        <v>49</v>
      </c>
    </row>
    <row r="94" customFormat="false" ht="34.5" hidden="false" customHeight="true" outlineLevel="0" collapsed="false">
      <c r="A94" s="4" t="s">
        <v>760</v>
      </c>
      <c r="B94" s="4" t="s">
        <v>761</v>
      </c>
      <c r="C94" s="4" t="s">
        <v>762</v>
      </c>
      <c r="D94" s="4" t="s">
        <v>22</v>
      </c>
      <c r="E94" s="4" t="s">
        <v>763</v>
      </c>
      <c r="F94" s="4" t="s">
        <v>764</v>
      </c>
      <c r="G94" s="4" t="s">
        <v>765</v>
      </c>
      <c r="H94" s="4" t="s">
        <v>134</v>
      </c>
      <c r="I94" s="4"/>
      <c r="J94" s="4"/>
      <c r="K94" s="4" t="s">
        <v>70</v>
      </c>
      <c r="L94" s="4" t="s">
        <v>128</v>
      </c>
      <c r="M94" s="4" t="s">
        <v>105</v>
      </c>
      <c r="N94" s="4" t="s">
        <v>106</v>
      </c>
      <c r="O94" s="4"/>
      <c r="P94" s="4"/>
      <c r="Q94" s="4" t="s">
        <v>107</v>
      </c>
      <c r="R94" s="4"/>
      <c r="S94" s="0" t="s">
        <v>49</v>
      </c>
    </row>
    <row r="95" customFormat="false" ht="34.5" hidden="false" customHeight="true" outlineLevel="0" collapsed="false">
      <c r="A95" s="4" t="s">
        <v>766</v>
      </c>
      <c r="B95" s="4" t="s">
        <v>767</v>
      </c>
      <c r="C95" s="4" t="s">
        <v>768</v>
      </c>
      <c r="D95" s="4" t="s">
        <v>22</v>
      </c>
      <c r="E95" s="4" t="s">
        <v>769</v>
      </c>
      <c r="F95" s="4" t="s">
        <v>770</v>
      </c>
      <c r="G95" s="4" t="s">
        <v>771</v>
      </c>
      <c r="H95" s="4" t="s">
        <v>772</v>
      </c>
      <c r="I95" s="4"/>
      <c r="J95" s="4"/>
      <c r="K95" s="4" t="s">
        <v>320</v>
      </c>
      <c r="L95" s="4" t="s">
        <v>321</v>
      </c>
      <c r="M95" s="4" t="s">
        <v>105</v>
      </c>
      <c r="N95" s="4" t="s">
        <v>106</v>
      </c>
      <c r="O95" s="4"/>
      <c r="P95" s="4"/>
      <c r="Q95" s="4" t="s">
        <v>107</v>
      </c>
      <c r="R95" s="4" t="s">
        <v>773</v>
      </c>
      <c r="S95" s="0" t="s">
        <v>49</v>
      </c>
    </row>
    <row r="96" customFormat="false" ht="34.5" hidden="false" customHeight="true" outlineLevel="0" collapsed="false">
      <c r="A96" s="4" t="s">
        <v>774</v>
      </c>
      <c r="B96" s="4" t="s">
        <v>775</v>
      </c>
      <c r="C96" s="4" t="s">
        <v>768</v>
      </c>
      <c r="D96" s="4" t="s">
        <v>22</v>
      </c>
      <c r="E96" s="4" t="s">
        <v>769</v>
      </c>
      <c r="F96" s="4" t="s">
        <v>776</v>
      </c>
      <c r="G96" s="4" t="s">
        <v>771</v>
      </c>
      <c r="H96" s="4" t="s">
        <v>535</v>
      </c>
      <c r="I96" s="4" t="s">
        <v>766</v>
      </c>
      <c r="J96" s="4"/>
      <c r="K96" s="4" t="s">
        <v>320</v>
      </c>
      <c r="L96" s="4" t="s">
        <v>321</v>
      </c>
      <c r="M96" s="4" t="s">
        <v>105</v>
      </c>
      <c r="N96" s="4" t="s">
        <v>106</v>
      </c>
      <c r="O96" s="4"/>
      <c r="P96" s="4"/>
      <c r="Q96" s="4" t="s">
        <v>107</v>
      </c>
      <c r="R96" s="4"/>
      <c r="S96" s="0" t="s">
        <v>49</v>
      </c>
    </row>
    <row r="97" customFormat="false" ht="34.5" hidden="false" customHeight="true" outlineLevel="0" collapsed="false">
      <c r="A97" s="4" t="s">
        <v>777</v>
      </c>
      <c r="B97" s="4" t="s">
        <v>778</v>
      </c>
      <c r="C97" s="4" t="s">
        <v>779</v>
      </c>
      <c r="D97" s="4" t="s">
        <v>22</v>
      </c>
      <c r="E97" s="4" t="s">
        <v>780</v>
      </c>
      <c r="F97" s="4" t="s">
        <v>781</v>
      </c>
      <c r="G97" s="4" t="s">
        <v>782</v>
      </c>
      <c r="H97" s="4" t="s">
        <v>535</v>
      </c>
      <c r="I97" s="4" t="s">
        <v>783</v>
      </c>
      <c r="J97" s="4" t="s">
        <v>783</v>
      </c>
      <c r="K97" s="4" t="s">
        <v>320</v>
      </c>
      <c r="L97" s="4" t="s">
        <v>321</v>
      </c>
      <c r="M97" s="4" t="s">
        <v>105</v>
      </c>
      <c r="N97" s="4" t="s">
        <v>106</v>
      </c>
      <c r="O97" s="4"/>
      <c r="P97" s="4"/>
      <c r="Q97" s="4" t="s">
        <v>107</v>
      </c>
      <c r="R97" s="4" t="s">
        <v>784</v>
      </c>
      <c r="S97" s="0" t="s">
        <v>49</v>
      </c>
    </row>
    <row r="98" customFormat="false" ht="34.5" hidden="false" customHeight="true" outlineLevel="0" collapsed="false">
      <c r="A98" s="4" t="s">
        <v>783</v>
      </c>
      <c r="B98" s="4" t="s">
        <v>785</v>
      </c>
      <c r="C98" s="4" t="s">
        <v>779</v>
      </c>
      <c r="D98" s="4" t="s">
        <v>22</v>
      </c>
      <c r="E98" s="4" t="s">
        <v>780</v>
      </c>
      <c r="F98" s="4" t="s">
        <v>786</v>
      </c>
      <c r="G98" s="4" t="s">
        <v>787</v>
      </c>
      <c r="H98" s="4" t="s">
        <v>788</v>
      </c>
      <c r="I98" s="4"/>
      <c r="J98" s="4"/>
      <c r="K98" s="4" t="s">
        <v>70</v>
      </c>
      <c r="L98" s="4" t="s">
        <v>128</v>
      </c>
      <c r="M98" s="4" t="s">
        <v>105</v>
      </c>
      <c r="N98" s="4" t="s">
        <v>106</v>
      </c>
      <c r="O98" s="4"/>
      <c r="P98" s="4"/>
      <c r="Q98" s="4" t="s">
        <v>107</v>
      </c>
      <c r="R98" s="4" t="s">
        <v>789</v>
      </c>
      <c r="S98" s="0" t="s">
        <v>49</v>
      </c>
    </row>
    <row r="99" customFormat="false" ht="34.5" hidden="false" customHeight="true" outlineLevel="0" collapsed="false">
      <c r="A99" s="4" t="s">
        <v>790</v>
      </c>
      <c r="B99" s="4" t="s">
        <v>791</v>
      </c>
      <c r="C99" s="4" t="s">
        <v>779</v>
      </c>
      <c r="D99" s="4" t="s">
        <v>22</v>
      </c>
      <c r="E99" s="4" t="s">
        <v>780</v>
      </c>
      <c r="F99" s="4" t="s">
        <v>792</v>
      </c>
      <c r="G99" s="4" t="s">
        <v>782</v>
      </c>
      <c r="H99" s="4" t="s">
        <v>134</v>
      </c>
      <c r="I99" s="4" t="s">
        <v>783</v>
      </c>
      <c r="J99" s="4" t="s">
        <v>783</v>
      </c>
      <c r="K99" s="4" t="s">
        <v>793</v>
      </c>
      <c r="L99" s="4" t="s">
        <v>119</v>
      </c>
      <c r="M99" s="4" t="s">
        <v>105</v>
      </c>
      <c r="N99" s="4" t="s">
        <v>106</v>
      </c>
      <c r="O99" s="4"/>
      <c r="P99" s="4"/>
      <c r="Q99" s="4" t="s">
        <v>107</v>
      </c>
      <c r="R99" s="4" t="s">
        <v>794</v>
      </c>
      <c r="S99" s="0" t="s">
        <v>49</v>
      </c>
    </row>
    <row r="100" customFormat="false" ht="34.5" hidden="false" customHeight="true" outlineLevel="0" collapsed="false">
      <c r="A100" s="4" t="s">
        <v>795</v>
      </c>
      <c r="B100" s="4" t="s">
        <v>796</v>
      </c>
      <c r="C100" s="4" t="s">
        <v>797</v>
      </c>
      <c r="D100" s="4" t="s">
        <v>22</v>
      </c>
      <c r="E100" s="4" t="s">
        <v>798</v>
      </c>
      <c r="F100" s="4" t="s">
        <v>799</v>
      </c>
      <c r="G100" s="4" t="s">
        <v>800</v>
      </c>
      <c r="H100" s="4" t="s">
        <v>134</v>
      </c>
      <c r="I100" s="4"/>
      <c r="J100" s="4"/>
      <c r="K100" s="4" t="s">
        <v>70</v>
      </c>
      <c r="L100" s="4" t="s">
        <v>128</v>
      </c>
      <c r="M100" s="4" t="s">
        <v>105</v>
      </c>
      <c r="N100" s="4" t="s">
        <v>106</v>
      </c>
      <c r="O100" s="4"/>
      <c r="P100" s="4"/>
      <c r="Q100" s="4" t="s">
        <v>107</v>
      </c>
      <c r="R100" s="4"/>
      <c r="S100" s="0" t="s">
        <v>49</v>
      </c>
    </row>
    <row r="101" customFormat="false" ht="34.5" hidden="false" customHeight="true" outlineLevel="0" collapsed="false">
      <c r="A101" s="4" t="s">
        <v>801</v>
      </c>
      <c r="B101" s="4" t="s">
        <v>802</v>
      </c>
      <c r="C101" s="4" t="s">
        <v>803</v>
      </c>
      <c r="D101" s="4" t="s">
        <v>22</v>
      </c>
      <c r="E101" s="4" t="s">
        <v>804</v>
      </c>
      <c r="F101" s="4" t="s">
        <v>805</v>
      </c>
      <c r="G101" s="4" t="s">
        <v>806</v>
      </c>
      <c r="H101" s="4" t="s">
        <v>134</v>
      </c>
      <c r="I101" s="4"/>
      <c r="J101" s="4"/>
      <c r="K101" s="4" t="s">
        <v>70</v>
      </c>
      <c r="L101" s="4" t="s">
        <v>128</v>
      </c>
      <c r="M101" s="4" t="s">
        <v>105</v>
      </c>
      <c r="N101" s="4" t="s">
        <v>106</v>
      </c>
      <c r="O101" s="4"/>
      <c r="P101" s="4"/>
      <c r="Q101" s="4" t="s">
        <v>107</v>
      </c>
      <c r="R101" s="4"/>
      <c r="S101" s="0" t="s">
        <v>49</v>
      </c>
    </row>
    <row r="102" customFormat="false" ht="34.5" hidden="false" customHeight="true" outlineLevel="0" collapsed="false">
      <c r="A102" s="4" t="s">
        <v>807</v>
      </c>
      <c r="B102" s="4" t="s">
        <v>808</v>
      </c>
      <c r="C102" s="4" t="s">
        <v>809</v>
      </c>
      <c r="D102" s="4" t="s">
        <v>22</v>
      </c>
      <c r="E102" s="4" t="s">
        <v>810</v>
      </c>
      <c r="F102" s="4" t="s">
        <v>811</v>
      </c>
      <c r="G102" s="4" t="s">
        <v>812</v>
      </c>
      <c r="H102" s="4" t="s">
        <v>102</v>
      </c>
      <c r="I102" s="4" t="s">
        <v>159</v>
      </c>
      <c r="J102" s="4"/>
      <c r="K102" s="4" t="s">
        <v>166</v>
      </c>
      <c r="L102" s="4" t="s">
        <v>813</v>
      </c>
      <c r="M102" s="4" t="s">
        <v>105</v>
      </c>
      <c r="N102" s="4" t="s">
        <v>106</v>
      </c>
      <c r="O102" s="4"/>
      <c r="P102" s="4"/>
      <c r="Q102" s="4" t="s">
        <v>107</v>
      </c>
      <c r="R102" s="4"/>
      <c r="S102" s="0" t="s">
        <v>49</v>
      </c>
    </row>
    <row r="103" customFormat="false" ht="34.5" hidden="false" customHeight="true" outlineLevel="0" collapsed="false">
      <c r="A103" s="4" t="s">
        <v>814</v>
      </c>
      <c r="B103" s="4" t="s">
        <v>815</v>
      </c>
      <c r="C103" s="4" t="s">
        <v>816</v>
      </c>
      <c r="D103" s="4" t="s">
        <v>22</v>
      </c>
      <c r="E103" s="4" t="s">
        <v>817</v>
      </c>
      <c r="F103" s="4" t="s">
        <v>818</v>
      </c>
      <c r="G103" s="4" t="s">
        <v>819</v>
      </c>
      <c r="H103" s="4" t="s">
        <v>535</v>
      </c>
      <c r="I103" s="4"/>
      <c r="J103" s="4"/>
      <c r="K103" s="4" t="s">
        <v>70</v>
      </c>
      <c r="L103" s="4" t="s">
        <v>128</v>
      </c>
      <c r="M103" s="4" t="s">
        <v>105</v>
      </c>
      <c r="N103" s="4" t="s">
        <v>106</v>
      </c>
      <c r="O103" s="4"/>
      <c r="P103" s="4"/>
      <c r="Q103" s="4" t="s">
        <v>107</v>
      </c>
      <c r="R103" s="4"/>
      <c r="S103" s="0" t="s">
        <v>49</v>
      </c>
    </row>
    <row r="104" customFormat="false" ht="34.5" hidden="false" customHeight="true" outlineLevel="0" collapsed="false">
      <c r="A104" s="4" t="s">
        <v>820</v>
      </c>
      <c r="B104" s="4" t="s">
        <v>821</v>
      </c>
      <c r="C104" s="4" t="s">
        <v>822</v>
      </c>
      <c r="D104" s="4" t="s">
        <v>22</v>
      </c>
      <c r="E104" s="4" t="s">
        <v>823</v>
      </c>
      <c r="F104" s="4" t="s">
        <v>824</v>
      </c>
      <c r="G104" s="4" t="s">
        <v>825</v>
      </c>
      <c r="H104" s="4" t="s">
        <v>535</v>
      </c>
      <c r="I104" s="4"/>
      <c r="J104" s="4"/>
      <c r="K104" s="4" t="s">
        <v>70</v>
      </c>
      <c r="L104" s="4" t="s">
        <v>128</v>
      </c>
      <c r="M104" s="4" t="s">
        <v>105</v>
      </c>
      <c r="N104" s="4" t="s">
        <v>106</v>
      </c>
      <c r="O104" s="4"/>
      <c r="P104" s="4"/>
      <c r="Q104" s="4" t="s">
        <v>107</v>
      </c>
      <c r="R104" s="4"/>
      <c r="S104" s="0" t="s">
        <v>49</v>
      </c>
    </row>
    <row r="105" customFormat="false" ht="34.5" hidden="false" customHeight="true" outlineLevel="0" collapsed="false">
      <c r="A105" s="4" t="s">
        <v>826</v>
      </c>
      <c r="B105" s="4" t="s">
        <v>827</v>
      </c>
      <c r="C105" s="4" t="s">
        <v>828</v>
      </c>
      <c r="D105" s="4" t="s">
        <v>22</v>
      </c>
      <c r="E105" s="4" t="s">
        <v>829</v>
      </c>
      <c r="F105" s="4" t="s">
        <v>830</v>
      </c>
      <c r="G105" s="4" t="s">
        <v>831</v>
      </c>
      <c r="H105" s="4" t="s">
        <v>832</v>
      </c>
      <c r="I105" s="4"/>
      <c r="J105" s="4"/>
      <c r="K105" s="4" t="s">
        <v>166</v>
      </c>
      <c r="L105" s="4" t="s">
        <v>222</v>
      </c>
      <c r="M105" s="4" t="s">
        <v>105</v>
      </c>
      <c r="N105" s="4" t="s">
        <v>106</v>
      </c>
      <c r="O105" s="4"/>
      <c r="P105" s="4"/>
      <c r="Q105" s="4" t="s">
        <v>107</v>
      </c>
      <c r="R105" s="4"/>
      <c r="S105" s="0" t="s">
        <v>49</v>
      </c>
    </row>
    <row r="106" customFormat="false" ht="34.5" hidden="false" customHeight="true" outlineLevel="0" collapsed="false">
      <c r="A106" s="4" t="s">
        <v>833</v>
      </c>
      <c r="B106" s="4" t="s">
        <v>834</v>
      </c>
      <c r="C106" s="4" t="s">
        <v>835</v>
      </c>
      <c r="D106" s="4" t="s">
        <v>22</v>
      </c>
      <c r="E106" s="4" t="s">
        <v>836</v>
      </c>
      <c r="F106" s="4" t="s">
        <v>837</v>
      </c>
      <c r="G106" s="4" t="s">
        <v>838</v>
      </c>
      <c r="H106" s="4" t="s">
        <v>134</v>
      </c>
      <c r="I106" s="4"/>
      <c r="J106" s="4"/>
      <c r="K106" s="4" t="s">
        <v>70</v>
      </c>
      <c r="L106" s="4" t="s">
        <v>128</v>
      </c>
      <c r="M106" s="4" t="s">
        <v>105</v>
      </c>
      <c r="N106" s="4" t="s">
        <v>106</v>
      </c>
      <c r="O106" s="4"/>
      <c r="P106" s="4"/>
      <c r="Q106" s="4" t="s">
        <v>107</v>
      </c>
      <c r="R106" s="4" t="s">
        <v>839</v>
      </c>
      <c r="S106" s="0" t="s">
        <v>49</v>
      </c>
    </row>
    <row r="107" customFormat="false" ht="34.5" hidden="false" customHeight="true" outlineLevel="0" collapsed="false">
      <c r="A107" s="4" t="s">
        <v>840</v>
      </c>
      <c r="B107" s="4" t="s">
        <v>841</v>
      </c>
      <c r="C107" s="4" t="s">
        <v>835</v>
      </c>
      <c r="D107" s="4" t="s">
        <v>22</v>
      </c>
      <c r="E107" s="4" t="s">
        <v>836</v>
      </c>
      <c r="F107" s="4" t="s">
        <v>842</v>
      </c>
      <c r="G107" s="4" t="s">
        <v>838</v>
      </c>
      <c r="H107" s="4" t="s">
        <v>102</v>
      </c>
      <c r="I107" s="4" t="s">
        <v>833</v>
      </c>
      <c r="J107" s="4" t="s">
        <v>833</v>
      </c>
      <c r="K107" s="4" t="s">
        <v>320</v>
      </c>
      <c r="L107" s="4" t="s">
        <v>321</v>
      </c>
      <c r="M107" s="4" t="s">
        <v>105</v>
      </c>
      <c r="N107" s="4" t="s">
        <v>106</v>
      </c>
      <c r="O107" s="4"/>
      <c r="P107" s="4"/>
      <c r="Q107" s="4" t="s">
        <v>107</v>
      </c>
      <c r="R107" s="4" t="s">
        <v>843</v>
      </c>
      <c r="S107" s="0" t="s">
        <v>49</v>
      </c>
    </row>
  </sheetData>
  <autoFilter ref="A1:R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2" t="s">
        <v>844</v>
      </c>
      <c r="B1" s="2" t="s">
        <v>845</v>
      </c>
    </row>
    <row r="2" customFormat="false" ht="15" hidden="false" customHeight="true" outlineLevel="0" collapsed="false">
      <c r="A2" s="4" t="s">
        <v>0</v>
      </c>
      <c r="B2" s="4" t="s">
        <v>846</v>
      </c>
    </row>
    <row r="3" customFormat="false" ht="15" hidden="false" customHeight="true" outlineLevel="0" collapsed="false">
      <c r="A3" s="4" t="s">
        <v>3</v>
      </c>
      <c r="B3" s="4" t="s">
        <v>847</v>
      </c>
    </row>
    <row r="4" customFormat="false" ht="15" hidden="false" customHeight="true" outlineLevel="0" collapsed="false">
      <c r="A4" s="4" t="s">
        <v>848</v>
      </c>
      <c r="B4" s="4" t="s">
        <v>849</v>
      </c>
    </row>
    <row r="5" customFormat="false" ht="15" hidden="false" customHeight="true" outlineLevel="0" collapsed="false">
      <c r="A5" s="4" t="s">
        <v>6</v>
      </c>
      <c r="B5" s="4" t="s">
        <v>850</v>
      </c>
    </row>
    <row r="6" customFormat="false" ht="15" hidden="false" customHeight="true" outlineLevel="0" collapsed="false">
      <c r="A6" s="4" t="s">
        <v>7</v>
      </c>
      <c r="B6" s="4" t="s">
        <v>851</v>
      </c>
    </row>
    <row r="7" customFormat="false" ht="15" hidden="false" customHeight="true" outlineLevel="0" collapsed="false">
      <c r="A7" s="4" t="s">
        <v>8</v>
      </c>
      <c r="B7" s="4" t="s">
        <v>852</v>
      </c>
    </row>
    <row r="8" customFormat="false" ht="15" hidden="false" customHeight="true" outlineLevel="0" collapsed="false">
      <c r="A8" s="4" t="s">
        <v>9</v>
      </c>
      <c r="B8" s="4" t="s">
        <v>853</v>
      </c>
    </row>
    <row r="9" customFormat="false" ht="15" hidden="false" customHeight="true" outlineLevel="0" collapsed="false">
      <c r="A9" s="4" t="s">
        <v>10</v>
      </c>
      <c r="B9" s="4" t="s">
        <v>854</v>
      </c>
    </row>
    <row r="10" customFormat="false" ht="23.25" hidden="false" customHeight="true" outlineLevel="0" collapsed="false">
      <c r="A10" s="4" t="s">
        <v>11</v>
      </c>
      <c r="B10" s="4" t="s">
        <v>855</v>
      </c>
    </row>
    <row r="11" customFormat="false" ht="23.25" hidden="false" customHeight="true" outlineLevel="0" collapsed="false">
      <c r="A11" s="4" t="s">
        <v>12</v>
      </c>
      <c r="B11" s="4" t="s">
        <v>856</v>
      </c>
    </row>
    <row r="12" customFormat="false" ht="23.25" hidden="false" customHeight="true" outlineLevel="0" collapsed="false">
      <c r="A12" s="4" t="s">
        <v>857</v>
      </c>
      <c r="B12" s="4" t="s">
        <v>858</v>
      </c>
    </row>
    <row r="13" customFormat="false" ht="15" hidden="false" customHeight="true" outlineLevel="0" collapsed="false">
      <c r="A13" s="4" t="s">
        <v>16</v>
      </c>
      <c r="B13" s="4" t="s">
        <v>859</v>
      </c>
    </row>
    <row r="14" customFormat="false" ht="23.25" hidden="false" customHeight="true" outlineLevel="0" collapsed="false">
      <c r="A14" s="4" t="s">
        <v>860</v>
      </c>
      <c r="B14" s="4" t="s">
        <v>861</v>
      </c>
    </row>
    <row r="15" customFormat="false" ht="23.25" hidden="false" customHeight="true" outlineLevel="0" collapsed="false">
      <c r="A15" s="4" t="s">
        <v>862</v>
      </c>
      <c r="B15" s="4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</cols>
  <sheetData>
    <row r="1" customFormat="false" ht="15" hidden="false" customHeight="true" outlineLevel="0" collapsed="false">
      <c r="A1" s="2" t="s">
        <v>864</v>
      </c>
      <c r="B1" s="2" t="s">
        <v>865</v>
      </c>
    </row>
    <row r="2" customFormat="false" ht="15" hidden="false" customHeight="true" outlineLevel="0" collapsed="false">
      <c r="A2" s="5" t="s">
        <v>866</v>
      </c>
      <c r="B2" s="5" t="n">
        <f aca="false">COUNTA(Catalog!A2:A107)</f>
        <v>106</v>
      </c>
    </row>
    <row r="3" customFormat="false" ht="15" hidden="false" customHeight="true" outlineLevel="0" collapsed="false">
      <c r="A3" s="5" t="s">
        <v>22</v>
      </c>
      <c r="B3" s="5" t="n">
        <f aca="false">COUNTIF(Catalog!D2:D107,"Princeton University")</f>
        <v>91</v>
      </c>
    </row>
    <row r="4" customFormat="false" ht="15" hidden="false" customHeight="true" outlineLevel="0" collapsed="false">
      <c r="A4" s="5" t="s">
        <v>867</v>
      </c>
      <c r="B4" s="5" t="n">
        <f aca="false">COUNTIF(Catalog!D2:D107,"Town of Princeton (not University)")</f>
        <v>13</v>
      </c>
    </row>
    <row r="5" customFormat="false" ht="15" hidden="false" customHeight="true" outlineLevel="0" collapsed="false">
      <c r="A5" s="5" t="s">
        <v>868</v>
      </c>
      <c r="B5" s="5" t="n">
        <f aca="false">COUNTIF(Catalog!D2:D107,"University-affiliated / adjacent")</f>
        <v>2</v>
      </c>
    </row>
    <row r="6" customFormat="false" ht="15" hidden="false" customHeight="true" outlineLevel="0" collapsed="false">
      <c r="A6" s="5" t="s">
        <v>869</v>
      </c>
      <c r="B6" s="5" t="n">
        <f aca="false">COUNTIF(Catalog!J2:J107,"?*")</f>
        <v>19</v>
      </c>
    </row>
    <row r="7" customFormat="false" ht="15" hidden="false" customHeight="true" outlineLevel="0" collapsed="false">
      <c r="A7" s="5" t="s">
        <v>870</v>
      </c>
      <c r="B7" s="5" t="n">
        <f aca="false">COUNTIF(Catalog!I2:I107,"?*")</f>
        <v>43</v>
      </c>
    </row>
    <row r="8" customFormat="false" ht="15" hidden="false" customHeight="true" outlineLevel="0" collapsed="false">
      <c r="A8" s="5" t="s">
        <v>871</v>
      </c>
      <c r="B8" s="5" t="n">
        <f aca="false">COUNTIF(Catalog!M2:M107,"Verified*")</f>
        <v>23</v>
      </c>
    </row>
    <row r="9" customFormat="false" ht="15" hidden="false" customHeight="true" outlineLevel="0" collapsed="false">
      <c r="A9" s="5" t="s">
        <v>872</v>
      </c>
      <c r="B9" s="5" t="n">
        <f aca="false">COUNTIFS(Catalog!J2:J107,"",Catalog!Q2:Q107,"&lt;&gt;n/a")</f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2026-09-06T00:09:54Z</dcterms:created>
  <dc:creator>openpyxl</dc:creator>
  <dc:description/>
  <dc:language>en-US</dc:language>
  <cp:lastModifiedBy/>
  <dcterms:modified xsi:type="dcterms:W3CDTF">2026-09-06T00:39:40Z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